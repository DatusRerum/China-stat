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filterPrivacy="1" codeName="ThisWorkbook"/>
  <xr:revisionPtr revIDLastSave="937" documentId="8_{F431722D-5E22-4166-8C14-B9BC3EBC905F}" xr6:coauthVersionLast="47" xr6:coauthVersionMax="47" xr10:uidLastSave="{FF194CA6-DE96-4166-8A10-8B4D6632EF3A}"/>
  <bookViews>
    <workbookView xWindow="-120" yWindow="-120" windowWidth="29040" windowHeight="15720" firstSheet="2" activeTab="2" xr2:uid="{00000000-000D-0000-FFFF-FFFF00000000}"/>
  </bookViews>
  <sheets>
    <sheet name="Day" sheetId="16" state="hidden" r:id="rId1"/>
    <sheet name="W" sheetId="15" state="hidden" r:id="rId2"/>
    <sheet name="Week" sheetId="17" r:id="rId3"/>
    <sheet name="Schedule" sheetId="12" r:id="rId4"/>
    <sheet name="Task Bucket" sheetId="20" r:id="rId5"/>
    <sheet name="Compleated" sheetId="18" r:id="rId6"/>
    <sheet name="Sheet1" sheetId="19" state="hidden" r:id="rId7"/>
  </sheets>
  <externalReferences>
    <externalReference r:id="rId8"/>
    <externalReference r:id="rId9"/>
  </externalReferences>
  <definedNames>
    <definedName name="_xlnm._FilterDatabase" localSheetId="3" hidden="1">Schedule!$A$7:$G$7</definedName>
    <definedName name="GoalTypeLis">[1]Sheet1!$A$2:$A$7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2" l="1"/>
  <c r="L5" i="12"/>
  <c r="K5" i="12"/>
  <c r="J5" i="12"/>
  <c r="I5" i="12"/>
  <c r="J8" i="12"/>
  <c r="K8" i="12"/>
  <c r="L8" i="12"/>
  <c r="M8" i="12"/>
  <c r="I8" i="12"/>
  <c r="G10" i="12"/>
  <c r="E9" i="12" l="1"/>
  <c r="A3" i="12"/>
  <c r="I4" i="12" s="1"/>
  <c r="I7" i="12" s="1"/>
  <c r="J4" i="12" l="1"/>
  <c r="A4" i="12"/>
  <c r="E1" i="20"/>
  <c r="K4" i="12" l="1"/>
  <c r="J7" i="12"/>
  <c r="C2" i="17"/>
  <c r="A1" i="17"/>
  <c r="B1" i="17"/>
  <c r="D2" i="16"/>
  <c r="N19" i="16" s="1"/>
  <c r="K13" i="16"/>
  <c r="K16" i="16"/>
  <c r="K17" i="16"/>
  <c r="K18" i="16"/>
  <c r="K19" i="16"/>
  <c r="K8" i="16"/>
  <c r="M9" i="16"/>
  <c r="H11" i="16"/>
  <c r="O11" i="16" s="1"/>
  <c r="Q10" i="15"/>
  <c r="F36" i="15" s="1"/>
  <c r="K14" i="16"/>
  <c r="K15" i="16"/>
  <c r="K20" i="16"/>
  <c r="K21" i="16"/>
  <c r="K22" i="16"/>
  <c r="K23" i="16"/>
  <c r="K24" i="16"/>
  <c r="H15" i="16"/>
  <c r="O15" i="16" s="1"/>
  <c r="H16" i="16"/>
  <c r="O16" i="16" s="1"/>
  <c r="H17" i="16"/>
  <c r="H18" i="16"/>
  <c r="H19" i="16"/>
  <c r="H20" i="16"/>
  <c r="H21" i="16"/>
  <c r="O21" i="16" s="1"/>
  <c r="H22" i="16"/>
  <c r="O22" i="16" s="1"/>
  <c r="H23" i="16"/>
  <c r="O23" i="16" s="1"/>
  <c r="H24" i="16"/>
  <c r="O24" i="16" s="1"/>
  <c r="M1" i="15"/>
  <c r="H13" i="16"/>
  <c r="M4" i="16"/>
  <c r="M8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E10" i="15"/>
  <c r="F33" i="15" s="1"/>
  <c r="I10" i="15"/>
  <c r="M7" i="16"/>
  <c r="M6" i="16"/>
  <c r="K9" i="16"/>
  <c r="K10" i="16"/>
  <c r="K11" i="16"/>
  <c r="H9" i="16"/>
  <c r="O9" i="16"/>
  <c r="Y10" i="15"/>
  <c r="F38" i="15" s="1"/>
  <c r="D29" i="16"/>
  <c r="D25" i="16" s="1"/>
  <c r="H4" i="16"/>
  <c r="O4" i="16" s="1"/>
  <c r="H5" i="16"/>
  <c r="O5" i="16"/>
  <c r="H6" i="16"/>
  <c r="O6" i="16" s="1"/>
  <c r="H7" i="16"/>
  <c r="O7" i="16" s="1"/>
  <c r="H8" i="16"/>
  <c r="O8" i="16"/>
  <c r="H10" i="16"/>
  <c r="O10" i="16" s="1"/>
  <c r="H12" i="16"/>
  <c r="O12" i="16" s="1"/>
  <c r="O13" i="16"/>
  <c r="H14" i="16"/>
  <c r="O14" i="16" s="1"/>
  <c r="O17" i="16"/>
  <c r="O18" i="16"/>
  <c r="O19" i="16"/>
  <c r="O20" i="16"/>
  <c r="M5" i="16"/>
  <c r="K5" i="16"/>
  <c r="K12" i="16"/>
  <c r="AC10" i="15"/>
  <c r="F39" i="15" s="1"/>
  <c r="U10" i="15"/>
  <c r="F37" i="15" s="1"/>
  <c r="M10" i="15"/>
  <c r="F35" i="15" s="1"/>
  <c r="F34" i="15"/>
  <c r="B44" i="16"/>
  <c r="B43" i="16"/>
  <c r="B42" i="16"/>
  <c r="B41" i="16"/>
  <c r="B40" i="16"/>
  <c r="B39" i="16"/>
  <c r="B38" i="16"/>
  <c r="B37" i="16"/>
  <c r="D35" i="16"/>
  <c r="K7" i="16"/>
  <c r="K6" i="16"/>
  <c r="K4" i="16"/>
  <c r="H8" i="15"/>
  <c r="L8" i="15" s="1"/>
  <c r="P8" i="15" s="1"/>
  <c r="T8" i="15" s="1"/>
  <c r="X8" i="15" s="1"/>
  <c r="AB8" i="15" s="1"/>
  <c r="B9" i="15"/>
  <c r="L4" i="12" l="1"/>
  <c r="K7" i="12"/>
  <c r="L6" i="16"/>
  <c r="N20" i="16"/>
  <c r="L16" i="16"/>
  <c r="N4" i="16"/>
  <c r="N14" i="16"/>
  <c r="L23" i="16"/>
  <c r="L12" i="16"/>
  <c r="N16" i="16"/>
  <c r="N21" i="16"/>
  <c r="N10" i="16"/>
  <c r="L22" i="16"/>
  <c r="N22" i="16"/>
  <c r="L9" i="16"/>
  <c r="L21" i="16"/>
  <c r="N8" i="16"/>
  <c r="N13" i="16"/>
  <c r="N9" i="16"/>
  <c r="L5" i="16"/>
  <c r="L18" i="16"/>
  <c r="L4" i="16"/>
  <c r="L20" i="16"/>
  <c r="L10" i="16"/>
  <c r="N23" i="16"/>
  <c r="N5" i="16"/>
  <c r="A1" i="16"/>
  <c r="N15" i="16"/>
  <c r="L14" i="16"/>
  <c r="L8" i="16"/>
  <c r="L11" i="16"/>
  <c r="N7" i="16"/>
  <c r="N12" i="16"/>
  <c r="L19" i="16"/>
  <c r="L7" i="16"/>
  <c r="L24" i="16"/>
  <c r="L13" i="16"/>
  <c r="N11" i="16"/>
  <c r="L15" i="16"/>
  <c r="L17" i="16"/>
  <c r="N24" i="16"/>
  <c r="N6" i="16"/>
  <c r="N18" i="16"/>
  <c r="N17" i="16"/>
  <c r="M4" i="12" l="1"/>
  <c r="M7" i="12" s="1"/>
  <c r="L7" i="12"/>
</calcChain>
</file>

<file path=xl/sharedStrings.xml><?xml version="1.0" encoding="utf-8"?>
<sst xmlns="http://schemas.openxmlformats.org/spreadsheetml/2006/main" count="120" uniqueCount="89">
  <si>
    <t>Доп задачи</t>
  </si>
  <si>
    <t>Subject</t>
  </si>
  <si>
    <t>Start Date</t>
  </si>
  <si>
    <t>Start Time</t>
  </si>
  <si>
    <t>End Date</t>
  </si>
  <si>
    <t>End Time</t>
  </si>
  <si>
    <t xml:space="preserve">Task </t>
  </si>
  <si>
    <t>Hrs</t>
  </si>
  <si>
    <t>Column1</t>
  </si>
  <si>
    <t>End time</t>
  </si>
  <si>
    <t>I must pay metro mile</t>
  </si>
  <si>
    <t xml:space="preserve"> -09:00</t>
  </si>
  <si>
    <t>Gym</t>
  </si>
  <si>
    <t>Pay mamas speed ticket</t>
  </si>
  <si>
    <t>Garbage</t>
  </si>
  <si>
    <t xml:space="preserve">Do the planing and create note book </t>
  </si>
  <si>
    <t>Section 15</t>
  </si>
  <si>
    <t>Shawer</t>
  </si>
  <si>
    <t>Eat powerbar</t>
  </si>
  <si>
    <t>Section 17</t>
  </si>
  <si>
    <t>09:00- 
14:00</t>
  </si>
  <si>
    <t>Помыть полы</t>
  </si>
  <si>
    <t>Section 18</t>
  </si>
  <si>
    <t>Grosheries</t>
  </si>
  <si>
    <t>Make a list</t>
  </si>
  <si>
    <t>Cooking</t>
  </si>
  <si>
    <t>Cook food</t>
  </si>
  <si>
    <t>Do with pops</t>
  </si>
  <si>
    <t>14:00- 
20:03</t>
  </si>
  <si>
    <t>Познание</t>
  </si>
  <si>
    <t>School of life</t>
  </si>
  <si>
    <t>Поворское дело</t>
  </si>
  <si>
    <t>CODE</t>
  </si>
  <si>
    <t>Tech</t>
  </si>
  <si>
    <t>Монолог РФ</t>
  </si>
  <si>
    <t xml:space="preserve">Развлечения </t>
  </si>
  <si>
    <t>20:00- 
21:00</t>
  </si>
  <si>
    <t>Divition</t>
  </si>
  <si>
    <t>Show</t>
  </si>
  <si>
    <t>Погода</t>
  </si>
  <si>
    <t xml:space="preserve">Режим работы </t>
  </si>
  <si>
    <t>Празднечные дни</t>
  </si>
  <si>
    <t>Обеденые перерывы</t>
  </si>
  <si>
    <t>Наличие денег</t>
  </si>
  <si>
    <t>Наличие других ресурсов</t>
  </si>
  <si>
    <t>Опоздания</t>
  </si>
  <si>
    <t xml:space="preserve">Забытые обязательства </t>
  </si>
  <si>
    <t>Conact Willy</t>
  </si>
  <si>
    <t>Section 19</t>
  </si>
  <si>
    <t>Mon</t>
  </si>
  <si>
    <t>Tue</t>
  </si>
  <si>
    <t>Wed</t>
  </si>
  <si>
    <t>Thu</t>
  </si>
  <si>
    <t>Fri</t>
  </si>
  <si>
    <t>Sat</t>
  </si>
  <si>
    <t>Sun</t>
  </si>
  <si>
    <t xml:space="preserve">Conecting to SQL </t>
  </si>
  <si>
    <t>Section 14</t>
  </si>
  <si>
    <t>Setup new email</t>
  </si>
  <si>
    <t xml:space="preserve">Buy clothes </t>
  </si>
  <si>
    <t>Section 16</t>
  </si>
  <si>
    <t>Load database to serfice pro</t>
  </si>
  <si>
    <t xml:space="preserve">Mon </t>
  </si>
  <si>
    <t>Tasks</t>
  </si>
  <si>
    <t>Events</t>
  </si>
  <si>
    <t>Name</t>
  </si>
  <si>
    <t>Due date</t>
  </si>
  <si>
    <t>Time</t>
  </si>
  <si>
    <t>Date and Time</t>
  </si>
  <si>
    <t>🎯</t>
  </si>
  <si>
    <t>M</t>
  </si>
  <si>
    <t>Projects</t>
  </si>
  <si>
    <t>DATE</t>
  </si>
  <si>
    <t>Res.</t>
  </si>
  <si>
    <t xml:space="preserve">H </t>
  </si>
  <si>
    <t>Cash</t>
  </si>
  <si>
    <t>1.1 Identify Transaction Sources</t>
  </si>
  <si>
    <t>1.1.1.1 Review Source Documents</t>
  </si>
  <si>
    <t>1.1.1.2 Organize Source Documents</t>
  </si>
  <si>
    <t>1.1.1.3 Document Source Locations</t>
  </si>
  <si>
    <t xml:space="preserve">← Insert the exact name of the tasks that you want to add. </t>
  </si>
  <si>
    <t>week</t>
  </si>
  <si>
    <t>DL</t>
  </si>
  <si>
    <t>Tsk type</t>
  </si>
  <si>
    <t>Goal</t>
  </si>
  <si>
    <t>Main Task</t>
  </si>
  <si>
    <t>Task</t>
  </si>
  <si>
    <t>🚩</t>
  </si>
  <si>
    <t>Milestone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</si>
</sst>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[$-409]d/mmm;@"/>
    <numFmt numFmtId="165" formatCode="d/m;@"/>
    <numFmt numFmtId="166" formatCode="[$-409]d\ mmm;@"/>
    <numFmt numFmtId="167" formatCode="h:mm;@"/>
    <numFmt numFmtId="168" formatCode="[$-F400]h:mm:ss\ AM/PM"/>
    <numFmt numFmtId="169" formatCode="d/m/yyyy;@"/>
    <numFmt numFmtId="170" formatCode="dd\ mmm"/>
    <numFmt numFmtId="171" formatCode="dd/mm\ &quot;[&quot;hh:mm&quot;]&quot;"/>
    <numFmt numFmtId="172" formatCode="&quot;Week&quot;\ 0"/>
    <numFmt numFmtId="173" formatCode="hh:m"/>
    <numFmt numFmtId="174" formatCode="dddd\ &quot;[&quot;\ dd\ mmm&quot;]&quot;"/>
    <numFmt numFmtId="175" formatCode="hh&quot;::&quot;mm"/>
    <numFmt numFmtId="176" formatCode="hh&quot;:&quot;mm"/>
    <numFmt numFmtId="177" formatCode="&quot;Week&quot;\ 00"/>
    <numFmt numFmtId="178" formatCode="&quot;WEEK&quot;\ 0"/>
    <numFmt numFmtId="179" formatCode="dd\ mmmm"/>
    <numFmt numFmtId="180" formatCode="0\ &quot;H&quot;"/>
    <numFmt numFmtId="182" formatCode="dd\ mmm\ &quot;[&quot;hh:mm&quot;]&quot;"/>
    <numFmt numFmtId="183" formatCode="&quot;Today:&quot;\ dd\ mmm\ yyyy"/>
    <numFmt numFmtId="184" formatCode="dd/m"/>
    <numFmt numFmtId="185" formatCode="hh:mm"/>
  </numFmts>
  <fonts count="70" x14ac:knownFonts="1">
    <font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Segoe UI"/>
      <family val="2"/>
    </font>
    <font>
      <b/>
      <sz val="24"/>
      <color theme="1"/>
      <name val="Rockwell"/>
      <family val="1"/>
    </font>
    <font>
      <b/>
      <sz val="24"/>
      <color theme="2"/>
      <name val="Rockwell"/>
      <family val="1"/>
    </font>
    <font>
      <b/>
      <sz val="2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i/>
      <sz val="20"/>
      <color theme="0"/>
      <name val="Arial"/>
      <family val="2"/>
    </font>
    <font>
      <b/>
      <sz val="16"/>
      <color theme="1"/>
      <name val="Arial"/>
      <family val="2"/>
    </font>
    <font>
      <b/>
      <i/>
      <sz val="20"/>
      <color theme="3"/>
      <name val="Arial"/>
      <family val="2"/>
    </font>
    <font>
      <b/>
      <i/>
      <sz val="16"/>
      <color theme="1"/>
      <name val="Arial"/>
      <family val="2"/>
    </font>
    <font>
      <b/>
      <i/>
      <sz val="18"/>
      <color theme="1"/>
      <name val="Arial"/>
      <family val="2"/>
    </font>
    <font>
      <b/>
      <i/>
      <sz val="18"/>
      <color theme="0"/>
      <name val="Arial"/>
      <family val="2"/>
    </font>
    <font>
      <b/>
      <sz val="18"/>
      <color theme="0"/>
      <name val="Calibri"/>
      <family val="2"/>
      <scheme val="minor"/>
    </font>
    <font>
      <b/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 tint="0.39997558519241921"/>
      <name val="Arial"/>
      <family val="2"/>
    </font>
    <font>
      <sz val="14"/>
      <color theme="2"/>
      <name val="Arial"/>
      <family val="2"/>
    </font>
    <font>
      <i/>
      <sz val="14"/>
      <color theme="1"/>
      <name val="Arial"/>
      <family val="2"/>
    </font>
    <font>
      <sz val="12"/>
      <color theme="1"/>
      <name val="Calibri"/>
      <family val="2"/>
      <scheme val="minor"/>
    </font>
    <font>
      <sz val="16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6"/>
      <color theme="2"/>
      <name val="Arial"/>
      <family val="2"/>
    </font>
    <font>
      <sz val="15"/>
      <color theme="5"/>
      <name val="Arial"/>
      <family val="2"/>
    </font>
    <font>
      <sz val="16"/>
      <color theme="2"/>
      <name val="Calibri"/>
      <family val="2"/>
      <scheme val="minor"/>
    </font>
    <font>
      <sz val="12"/>
      <color rgb="FF2B3E42"/>
      <name val="Arial"/>
      <family val="2"/>
    </font>
    <font>
      <b/>
      <sz val="16"/>
      <color theme="2"/>
      <name val="Calibri"/>
      <family val="2"/>
      <scheme val="minor"/>
    </font>
    <font>
      <b/>
      <sz val="16"/>
      <color rgb="FF2B3E42"/>
      <name val="Georgia"/>
      <family val="1"/>
    </font>
    <font>
      <b/>
      <i/>
      <sz val="16"/>
      <color theme="0"/>
      <name val="Arial"/>
      <family val="2"/>
    </font>
    <font>
      <sz val="11"/>
      <color theme="1"/>
      <name val="Arial"/>
      <family val="2"/>
    </font>
    <font>
      <i/>
      <sz val="12"/>
      <color theme="1"/>
      <name val="Arial"/>
      <family val="2"/>
    </font>
    <font>
      <b/>
      <sz val="24"/>
      <color theme="3"/>
      <name val="Rockwell"/>
      <family val="1"/>
    </font>
    <font>
      <b/>
      <sz val="11"/>
      <color theme="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2B3E42"/>
      <name val="Georgia"/>
      <family val="1"/>
    </font>
    <font>
      <b/>
      <i/>
      <sz val="11"/>
      <color theme="0"/>
      <name val="Arial"/>
      <family val="2"/>
    </font>
    <font>
      <b/>
      <sz val="14"/>
      <color theme="1"/>
      <name val="Calibri"/>
      <family val="2"/>
    </font>
    <font>
      <b/>
      <sz val="14"/>
      <color rgb="FF2B3E42"/>
      <name val="Arial"/>
      <family val="2"/>
    </font>
    <font>
      <sz val="18"/>
      <color theme="2"/>
      <name val="Calibri"/>
      <family val="2"/>
      <scheme val="minor"/>
    </font>
    <font>
      <b/>
      <sz val="14"/>
      <color rgb="FF2B3E42"/>
      <name val="Georgia"/>
      <family val="1"/>
    </font>
    <font>
      <b/>
      <sz val="12"/>
      <color rgb="FF2B3E42"/>
      <name val="Georgia"/>
      <family val="1"/>
    </font>
    <font>
      <b/>
      <sz val="20"/>
      <color theme="3"/>
      <name val="Rockwell"/>
      <family val="1"/>
    </font>
    <font>
      <b/>
      <sz val="14"/>
      <color theme="0"/>
      <name val="Segoe UI"/>
      <family val="2"/>
    </font>
    <font>
      <b/>
      <i/>
      <sz val="14"/>
      <color theme="0"/>
      <name val="Arial"/>
      <family val="2"/>
    </font>
    <font>
      <sz val="14"/>
      <color theme="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6"/>
      <color theme="6"/>
      <name val="Calibri"/>
      <family val="2"/>
      <scheme val="minor"/>
    </font>
    <font>
      <sz val="16"/>
      <color theme="2"/>
      <name val="Calibri"/>
      <family val="2"/>
    </font>
    <font>
      <sz val="14"/>
      <color rgb="FF2B3E42"/>
      <name val="Calibri"/>
      <family val="2"/>
      <scheme val="minor"/>
    </font>
    <font>
      <b/>
      <sz val="16"/>
      <color rgb="FF2B3E42"/>
      <name val="Calibri"/>
      <family val="2"/>
    </font>
    <font>
      <sz val="16"/>
      <color rgb="FF2B3E42"/>
      <name val="Calibri"/>
      <family val="2"/>
      <scheme val="minor"/>
    </font>
    <font>
      <sz val="14"/>
      <color rgb="FF2B3E42"/>
      <name val="Calibri"/>
      <family val="2"/>
    </font>
    <font>
      <b/>
      <sz val="16"/>
      <color rgb="FF2B3E4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1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EFEF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859B98"/>
        <bgColor indexed="64"/>
      </patternFill>
    </fill>
    <fill>
      <patternFill patternType="solid">
        <fgColor theme="6"/>
        <bgColor indexed="64"/>
      </patternFill>
    </fill>
    <fill>
      <patternFill patternType="lightGray">
        <fgColor theme="7"/>
        <bgColor theme="2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/>
      <right/>
      <top/>
      <bottom style="thin">
        <color theme="1"/>
      </bottom>
      <diagonal/>
    </border>
    <border>
      <left style="thick">
        <color theme="3"/>
      </left>
      <right/>
      <top/>
      <bottom style="thin">
        <color theme="1"/>
      </bottom>
      <diagonal/>
    </border>
    <border>
      <left/>
      <right style="thick">
        <color theme="3"/>
      </right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ck">
        <color theme="3"/>
      </left>
      <right/>
      <top style="thin">
        <color theme="1"/>
      </top>
      <bottom style="thin">
        <color theme="1"/>
      </bottom>
      <diagonal/>
    </border>
    <border>
      <left/>
      <right style="thick">
        <color theme="3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ck">
        <color theme="3"/>
      </left>
      <right/>
      <top style="thin">
        <color theme="1"/>
      </top>
      <bottom/>
      <diagonal/>
    </border>
    <border>
      <left/>
      <right style="thick">
        <color theme="3"/>
      </right>
      <top style="thin">
        <color theme="1"/>
      </top>
      <bottom/>
      <diagonal/>
    </border>
    <border>
      <left/>
      <right/>
      <top style="thick">
        <color theme="1" tint="0.39991454817346722"/>
      </top>
      <bottom/>
      <diagonal/>
    </border>
    <border>
      <left style="thick">
        <color theme="1" tint="0.39988402966399123"/>
      </left>
      <right/>
      <top style="thick">
        <color theme="1" tint="0.39988402966399123"/>
      </top>
      <bottom/>
      <diagonal/>
    </border>
    <border>
      <left style="thick">
        <color theme="1" tint="0.39988402966399123"/>
      </left>
      <right/>
      <top/>
      <bottom/>
      <diagonal/>
    </border>
    <border>
      <left style="thick">
        <color theme="1" tint="0.39988402966399123"/>
      </left>
      <right/>
      <top style="thick">
        <color theme="1" tint="0.39991454817346722"/>
      </top>
      <bottom/>
      <diagonal/>
    </border>
    <border>
      <left style="thick">
        <color theme="1" tint="0.39988402966399123"/>
      </left>
      <right/>
      <top style="thick">
        <color theme="1" tint="0.39994506668294322"/>
      </top>
      <bottom style="thick">
        <color theme="1" tint="0.39988402966399123"/>
      </bottom>
      <diagonal/>
    </border>
    <border>
      <left/>
      <right/>
      <top style="thick">
        <color theme="1" tint="0.39994506668294322"/>
      </top>
      <bottom style="thick">
        <color theme="1" tint="0.39988402966399123"/>
      </bottom>
      <diagonal/>
    </border>
    <border>
      <left style="thick">
        <color theme="1" tint="0.39994506668294322"/>
      </left>
      <right/>
      <top/>
      <bottom/>
      <diagonal/>
    </border>
    <border>
      <left/>
      <right/>
      <top style="thick">
        <color theme="1" tint="0.39988402966399123"/>
      </top>
      <bottom/>
      <diagonal/>
    </border>
    <border>
      <left/>
      <right/>
      <top style="thick">
        <color theme="1" tint="0.39994506668294322"/>
      </top>
      <bottom/>
      <diagonal/>
    </border>
    <border>
      <left/>
      <right/>
      <top/>
      <bottom style="thick">
        <color theme="1" tint="0.399945066682943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1" tint="0.59996337778862885"/>
      </left>
      <right/>
      <top/>
      <bottom/>
      <diagonal/>
    </border>
    <border>
      <left style="thick">
        <color theme="1" tint="0.39991454817346722"/>
      </left>
      <right/>
      <top/>
      <bottom/>
      <diagonal/>
    </border>
    <border>
      <left style="thick">
        <color theme="1" tint="0.39991454817346722"/>
      </left>
      <right/>
      <top/>
      <bottom style="thick">
        <color theme="1" tint="0.39988402966399123"/>
      </bottom>
      <diagonal/>
    </border>
    <border>
      <left/>
      <right style="thick">
        <color theme="5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 style="medium">
        <color indexed="64"/>
      </top>
      <bottom/>
      <diagonal/>
    </border>
    <border>
      <left style="thick">
        <color theme="3"/>
      </left>
      <right style="thick">
        <color theme="3"/>
      </right>
      <top/>
      <bottom style="medium">
        <color indexed="64"/>
      </bottom>
      <diagonal/>
    </border>
    <border>
      <left style="thick">
        <color theme="3"/>
      </left>
      <right style="thick">
        <color theme="3"/>
      </right>
      <top/>
      <bottom style="thin">
        <color indexed="64"/>
      </bottom>
      <diagonal/>
    </border>
    <border>
      <left style="thick">
        <color theme="3"/>
      </left>
      <right style="thick">
        <color theme="3"/>
      </right>
      <top style="thin">
        <color indexed="64"/>
      </top>
      <bottom style="medium">
        <color theme="5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theme="4"/>
      </top>
      <bottom style="medium">
        <color theme="4"/>
      </bottom>
      <diagonal/>
    </border>
  </borders>
  <cellStyleXfs count="5">
    <xf numFmtId="0" fontId="0" fillId="3" borderId="0"/>
    <xf numFmtId="0" fontId="3" fillId="3" borderId="0"/>
    <xf numFmtId="0" fontId="16" fillId="6" borderId="2"/>
    <xf numFmtId="9" fontId="2" fillId="0" borderId="0" applyFont="0" applyFill="0" applyBorder="0" applyAlignment="0" applyProtection="0"/>
    <xf numFmtId="0" fontId="20" fillId="8" borderId="5" applyNumberFormat="0" applyAlignment="0"/>
  </cellStyleXfs>
  <cellXfs count="224">
    <xf numFmtId="0" fontId="0" fillId="3" borderId="0" xfId="0"/>
    <xf numFmtId="0" fontId="5" fillId="3" borderId="0" xfId="0" applyFont="1" applyAlignment="1">
      <alignment horizontal="center"/>
    </xf>
    <xf numFmtId="0" fontId="6" fillId="3" borderId="0" xfId="0" applyFont="1"/>
    <xf numFmtId="0" fontId="5" fillId="3" borderId="0" xfId="0" applyFont="1"/>
    <xf numFmtId="0" fontId="3" fillId="3" borderId="0" xfId="0" applyFont="1" applyAlignment="1">
      <alignment horizontal="center" vertical="center" wrapText="1"/>
    </xf>
    <xf numFmtId="165" fontId="7" fillId="3" borderId="0" xfId="0" applyNumberFormat="1" applyFont="1"/>
    <xf numFmtId="0" fontId="9" fillId="3" borderId="0" xfId="0" applyFont="1" applyAlignment="1">
      <alignment horizontal="center" vertical="center"/>
    </xf>
    <xf numFmtId="0" fontId="11" fillId="3" borderId="0" xfId="0" applyFont="1"/>
    <xf numFmtId="0" fontId="3" fillId="3" borderId="0" xfId="1"/>
    <xf numFmtId="0" fontId="3" fillId="3" borderId="0" xfId="1" applyAlignment="1">
      <alignment wrapText="1"/>
    </xf>
    <xf numFmtId="0" fontId="15" fillId="3" borderId="0" xfId="1" applyFont="1" applyAlignment="1">
      <alignment wrapText="1"/>
    </xf>
    <xf numFmtId="0" fontId="15" fillId="3" borderId="0" xfId="1" applyFont="1"/>
    <xf numFmtId="20" fontId="3" fillId="3" borderId="0" xfId="1" applyNumberFormat="1" applyAlignment="1">
      <alignment wrapText="1"/>
    </xf>
    <xf numFmtId="20" fontId="3" fillId="3" borderId="0" xfId="1" applyNumberFormat="1"/>
    <xf numFmtId="9" fontId="16" fillId="4" borderId="0" xfId="3" applyFont="1" applyFill="1" applyAlignment="1">
      <alignment vertical="center" wrapText="1"/>
    </xf>
    <xf numFmtId="0" fontId="3" fillId="3" borderId="0" xfId="1" applyAlignment="1">
      <alignment horizontal="center" wrapText="1"/>
    </xf>
    <xf numFmtId="0" fontId="0" fillId="3" borderId="0" xfId="0" applyAlignment="1">
      <alignment vertical="center"/>
    </xf>
    <xf numFmtId="0" fontId="4" fillId="3" borderId="0" xfId="0" applyFont="1" applyAlignment="1">
      <alignment vertical="center"/>
    </xf>
    <xf numFmtId="20" fontId="4" fillId="3" borderId="0" xfId="0" applyNumberFormat="1" applyFont="1" applyAlignment="1">
      <alignment vertical="center"/>
    </xf>
    <xf numFmtId="170" fontId="4" fillId="3" borderId="0" xfId="0" applyNumberFormat="1" applyFont="1" applyAlignment="1">
      <alignment horizontal="center" vertical="center"/>
    </xf>
    <xf numFmtId="0" fontId="17" fillId="3" borderId="0" xfId="1" applyFont="1" applyAlignment="1">
      <alignment wrapText="1"/>
    </xf>
    <xf numFmtId="1" fontId="6" fillId="3" borderId="0" xfId="0" applyNumberFormat="1" applyFont="1"/>
    <xf numFmtId="0" fontId="3" fillId="3" borderId="7" xfId="1" applyBorder="1" applyAlignment="1">
      <alignment wrapText="1"/>
    </xf>
    <xf numFmtId="0" fontId="18" fillId="3" borderId="9" xfId="2" applyFont="1" applyFill="1" applyBorder="1" applyAlignment="1">
      <alignment wrapText="1"/>
    </xf>
    <xf numFmtId="0" fontId="26" fillId="3" borderId="0" xfId="1" applyFont="1" applyAlignment="1">
      <alignment wrapText="1"/>
    </xf>
    <xf numFmtId="0" fontId="26" fillId="3" borderId="0" xfId="1" applyFont="1"/>
    <xf numFmtId="0" fontId="3" fillId="10" borderId="0" xfId="1" applyFill="1"/>
    <xf numFmtId="166" fontId="27" fillId="8" borderId="0" xfId="2" applyNumberFormat="1" applyFont="1" applyFill="1" applyBorder="1" applyAlignment="1">
      <alignment wrapText="1"/>
    </xf>
    <xf numFmtId="0" fontId="18" fillId="8" borderId="9" xfId="2" applyFont="1" applyFill="1" applyBorder="1" applyAlignment="1">
      <alignment wrapText="1"/>
    </xf>
    <xf numFmtId="0" fontId="24" fillId="3" borderId="0" xfId="1" applyFont="1"/>
    <xf numFmtId="0" fontId="3" fillId="3" borderId="10" xfId="1" applyBorder="1" applyAlignment="1">
      <alignment wrapText="1"/>
    </xf>
    <xf numFmtId="0" fontId="15" fillId="3" borderId="10" xfId="1" applyFont="1" applyBorder="1" applyAlignment="1">
      <alignment wrapText="1"/>
    </xf>
    <xf numFmtId="0" fontId="19" fillId="3" borderId="11" xfId="2" applyFont="1" applyFill="1" applyBorder="1" applyAlignment="1">
      <alignment wrapText="1"/>
    </xf>
    <xf numFmtId="0" fontId="3" fillId="3" borderId="12" xfId="1" applyBorder="1" applyAlignment="1">
      <alignment wrapText="1"/>
    </xf>
    <xf numFmtId="0" fontId="3" fillId="10" borderId="12" xfId="1" applyFill="1" applyBorder="1" applyAlignment="1">
      <alignment wrapText="1"/>
    </xf>
    <xf numFmtId="0" fontId="3" fillId="3" borderId="13" xfId="1" applyBorder="1" applyAlignment="1">
      <alignment wrapText="1"/>
    </xf>
    <xf numFmtId="0" fontId="15" fillId="3" borderId="13" xfId="1" applyFont="1" applyBorder="1"/>
    <xf numFmtId="0" fontId="19" fillId="3" borderId="14" xfId="2" applyFont="1" applyFill="1" applyBorder="1" applyAlignment="1">
      <alignment wrapText="1"/>
    </xf>
    <xf numFmtId="0" fontId="3" fillId="3" borderId="15" xfId="1" applyBorder="1" applyAlignment="1">
      <alignment wrapText="1"/>
    </xf>
    <xf numFmtId="0" fontId="3" fillId="10" borderId="15" xfId="1" applyFill="1" applyBorder="1" applyAlignment="1">
      <alignment wrapText="1"/>
    </xf>
    <xf numFmtId="0" fontId="3" fillId="3" borderId="16" xfId="1" applyBorder="1" applyAlignment="1">
      <alignment wrapText="1"/>
    </xf>
    <xf numFmtId="0" fontId="15" fillId="3" borderId="16" xfId="1" applyFont="1" applyBorder="1"/>
    <xf numFmtId="0" fontId="19" fillId="3" borderId="17" xfId="2" applyFont="1" applyFill="1" applyBorder="1" applyAlignment="1">
      <alignment wrapText="1"/>
    </xf>
    <xf numFmtId="0" fontId="3" fillId="3" borderId="18" xfId="1" applyBorder="1"/>
    <xf numFmtId="0" fontId="3" fillId="10" borderId="18" xfId="1" applyFill="1" applyBorder="1"/>
    <xf numFmtId="172" fontId="25" fillId="3" borderId="0" xfId="1" applyNumberFormat="1" applyFont="1" applyAlignment="1">
      <alignment horizontal="center" vertical="center"/>
    </xf>
    <xf numFmtId="173" fontId="28" fillId="3" borderId="13" xfId="1" applyNumberFormat="1" applyFont="1" applyBorder="1" applyAlignment="1">
      <alignment wrapText="1"/>
    </xf>
    <xf numFmtId="0" fontId="29" fillId="3" borderId="13" xfId="2" applyFont="1" applyFill="1" applyBorder="1" applyAlignment="1">
      <alignment horizontal="center" vertical="center" wrapText="1"/>
    </xf>
    <xf numFmtId="0" fontId="3" fillId="3" borderId="21" xfId="1" applyBorder="1" applyAlignment="1">
      <alignment wrapText="1"/>
    </xf>
    <xf numFmtId="0" fontId="14" fillId="3" borderId="0" xfId="1" applyFont="1" applyAlignment="1">
      <alignment wrapText="1"/>
    </xf>
    <xf numFmtId="167" fontId="3" fillId="3" borderId="0" xfId="1" applyNumberFormat="1"/>
    <xf numFmtId="0" fontId="30" fillId="3" borderId="24" xfId="1" applyFont="1" applyBorder="1"/>
    <xf numFmtId="0" fontId="31" fillId="3" borderId="0" xfId="1" applyFont="1"/>
    <xf numFmtId="167" fontId="3" fillId="3" borderId="0" xfId="1" applyNumberFormat="1" applyAlignment="1">
      <alignment wrapText="1"/>
    </xf>
    <xf numFmtId="164" fontId="3" fillId="3" borderId="0" xfId="1" applyNumberFormat="1" applyAlignment="1">
      <alignment wrapText="1"/>
    </xf>
    <xf numFmtId="169" fontId="3" fillId="3" borderId="0" xfId="1" applyNumberFormat="1" applyAlignment="1">
      <alignment wrapText="1"/>
    </xf>
    <xf numFmtId="167" fontId="3" fillId="3" borderId="28" xfId="1" applyNumberFormat="1" applyBorder="1" applyAlignment="1">
      <alignment wrapText="1"/>
    </xf>
    <xf numFmtId="169" fontId="3" fillId="3" borderId="28" xfId="1" applyNumberFormat="1" applyBorder="1" applyAlignment="1">
      <alignment wrapText="1"/>
    </xf>
    <xf numFmtId="167" fontId="3" fillId="3" borderId="28" xfId="1" applyNumberFormat="1" applyBorder="1"/>
    <xf numFmtId="14" fontId="31" fillId="3" borderId="0" xfId="1" applyNumberFormat="1" applyFont="1"/>
    <xf numFmtId="168" fontId="31" fillId="3" borderId="0" xfId="1" applyNumberFormat="1" applyFont="1"/>
    <xf numFmtId="0" fontId="32" fillId="3" borderId="0" xfId="1" applyFont="1"/>
    <xf numFmtId="173" fontId="28" fillId="3" borderId="0" xfId="1" applyNumberFormat="1" applyFont="1" applyAlignment="1">
      <alignment wrapText="1"/>
    </xf>
    <xf numFmtId="0" fontId="34" fillId="3" borderId="0" xfId="1" applyFont="1"/>
    <xf numFmtId="9" fontId="16" fillId="4" borderId="0" xfId="3" applyFont="1" applyFill="1" applyBorder="1" applyAlignment="1">
      <alignment vertical="center" wrapText="1"/>
    </xf>
    <xf numFmtId="0" fontId="22" fillId="3" borderId="27" xfId="1" applyFont="1" applyBorder="1"/>
    <xf numFmtId="0" fontId="37" fillId="3" borderId="0" xfId="1" applyFont="1"/>
    <xf numFmtId="0" fontId="38" fillId="3" borderId="23" xfId="1" applyFont="1" applyBorder="1"/>
    <xf numFmtId="1" fontId="6" fillId="3" borderId="0" xfId="0" applyNumberFormat="1" applyFont="1" applyAlignment="1">
      <alignment vertical="center"/>
    </xf>
    <xf numFmtId="0" fontId="32" fillId="3" borderId="29" xfId="1" applyFont="1" applyBorder="1"/>
    <xf numFmtId="173" fontId="28" fillId="3" borderId="30" xfId="1" applyNumberFormat="1" applyFont="1" applyBorder="1" applyAlignment="1">
      <alignment wrapText="1"/>
    </xf>
    <xf numFmtId="0" fontId="3" fillId="3" borderId="29" xfId="1" applyBorder="1"/>
    <xf numFmtId="167" fontId="35" fillId="11" borderId="22" xfId="3" applyNumberFormat="1" applyFont="1" applyFill="1" applyBorder="1" applyAlignment="1"/>
    <xf numFmtId="167" fontId="35" fillId="11" borderId="19" xfId="3" applyNumberFormat="1" applyFont="1" applyFill="1" applyBorder="1" applyAlignment="1"/>
    <xf numFmtId="0" fontId="33" fillId="3" borderId="32" xfId="0" applyFont="1" applyBorder="1"/>
    <xf numFmtId="0" fontId="40" fillId="14" borderId="32" xfId="1" applyFont="1" applyFill="1" applyBorder="1" applyAlignment="1">
      <alignment horizontal="center" wrapText="1"/>
    </xf>
    <xf numFmtId="0" fontId="3" fillId="3" borderId="34" xfId="1" applyBorder="1" applyAlignment="1">
      <alignment wrapText="1"/>
    </xf>
    <xf numFmtId="20" fontId="1" fillId="13" borderId="34" xfId="1" applyNumberFormat="1" applyFont="1" applyFill="1" applyBorder="1" applyAlignment="1">
      <alignment horizontal="center"/>
    </xf>
    <xf numFmtId="20" fontId="1" fillId="13" borderId="34" xfId="1" applyNumberFormat="1" applyFont="1" applyFill="1" applyBorder="1"/>
    <xf numFmtId="167" fontId="1" fillId="13" borderId="34" xfId="1" applyNumberFormat="1" applyFont="1" applyFill="1" applyBorder="1"/>
    <xf numFmtId="0" fontId="3" fillId="3" borderId="34" xfId="1" applyBorder="1"/>
    <xf numFmtId="0" fontId="0" fillId="3" borderId="34" xfId="0" applyBorder="1"/>
    <xf numFmtId="0" fontId="3" fillId="14" borderId="34" xfId="1" applyFill="1" applyBorder="1"/>
    <xf numFmtId="0" fontId="0" fillId="14" borderId="34" xfId="0" applyFill="1" applyBorder="1"/>
    <xf numFmtId="0" fontId="3" fillId="15" borderId="34" xfId="1" applyFill="1" applyBorder="1"/>
    <xf numFmtId="0" fontId="7" fillId="3" borderId="0" xfId="0" applyFont="1" applyAlignment="1">
      <alignment horizontal="center"/>
    </xf>
    <xf numFmtId="0" fontId="41" fillId="3" borderId="0" xfId="0" applyFont="1" applyAlignment="1">
      <alignment vertical="center"/>
    </xf>
    <xf numFmtId="14" fontId="36" fillId="3" borderId="0" xfId="0" applyNumberFormat="1" applyFont="1" applyAlignment="1">
      <alignment horizontal="center"/>
    </xf>
    <xf numFmtId="0" fontId="22" fillId="3" borderId="0" xfId="0" applyFont="1" applyAlignment="1">
      <alignment horizontal="center" vertical="center" wrapText="1"/>
    </xf>
    <xf numFmtId="0" fontId="7" fillId="3" borderId="0" xfId="0" applyFont="1"/>
    <xf numFmtId="171" fontId="42" fillId="9" borderId="0" xfId="0" applyNumberFormat="1" applyFont="1" applyFill="1" applyAlignment="1">
      <alignment horizontal="center" vertical="center"/>
    </xf>
    <xf numFmtId="174" fontId="39" fillId="3" borderId="0" xfId="0" applyNumberFormat="1" applyFont="1"/>
    <xf numFmtId="0" fontId="1" fillId="3" borderId="0" xfId="1" applyFont="1"/>
    <xf numFmtId="175" fontId="44" fillId="3" borderId="0" xfId="1" applyNumberFormat="1" applyFont="1"/>
    <xf numFmtId="176" fontId="1" fillId="3" borderId="0" xfId="1" applyNumberFormat="1" applyFont="1"/>
    <xf numFmtId="20" fontId="0" fillId="3" borderId="0" xfId="0" applyNumberFormat="1"/>
    <xf numFmtId="0" fontId="3" fillId="3" borderId="35" xfId="1" applyBorder="1"/>
    <xf numFmtId="176" fontId="1" fillId="3" borderId="35" xfId="1" applyNumberFormat="1" applyFont="1" applyBorder="1"/>
    <xf numFmtId="173" fontId="45" fillId="3" borderId="0" xfId="1" applyNumberFormat="1" applyFont="1" applyAlignment="1">
      <alignment wrapText="1"/>
    </xf>
    <xf numFmtId="20" fontId="3" fillId="3" borderId="13" xfId="1" applyNumberFormat="1" applyBorder="1" applyAlignment="1">
      <alignment wrapText="1"/>
    </xf>
    <xf numFmtId="2" fontId="13" fillId="3" borderId="38" xfId="0" applyNumberFormat="1" applyFont="1" applyBorder="1" applyAlignment="1">
      <alignment horizontal="left"/>
    </xf>
    <xf numFmtId="177" fontId="0" fillId="3" borderId="0" xfId="0" applyNumberFormat="1" applyAlignment="1">
      <alignment horizontal="center" vertical="center"/>
    </xf>
    <xf numFmtId="1" fontId="10" fillId="3" borderId="0" xfId="0" applyNumberFormat="1" applyFont="1" applyAlignment="1">
      <alignment horizontal="center" vertical="center"/>
    </xf>
    <xf numFmtId="1" fontId="11" fillId="3" borderId="0" xfId="0" applyNumberFormat="1" applyFont="1"/>
    <xf numFmtId="1" fontId="8" fillId="3" borderId="0" xfId="0" applyNumberFormat="1" applyFont="1" applyAlignment="1">
      <alignment horizontal="center" vertical="center" wrapText="1"/>
    </xf>
    <xf numFmtId="0" fontId="11" fillId="3" borderId="0" xfId="0" applyFont="1" applyAlignment="1">
      <alignment horizontal="center"/>
    </xf>
    <xf numFmtId="0" fontId="0" fillId="3" borderId="0" xfId="0" applyAlignment="1">
      <alignment horizontal="center" vertical="center"/>
    </xf>
    <xf numFmtId="0" fontId="4" fillId="3" borderId="0" xfId="0" applyFont="1" applyAlignment="1">
      <alignment horizontal="center" vertical="center"/>
    </xf>
    <xf numFmtId="0" fontId="0" fillId="3" borderId="0" xfId="0" applyAlignment="1">
      <alignment horizontal="center"/>
    </xf>
    <xf numFmtId="1" fontId="19" fillId="3" borderId="0" xfId="0" applyNumberFormat="1" applyFont="1" applyAlignment="1">
      <alignment horizontal="center"/>
    </xf>
    <xf numFmtId="1" fontId="47" fillId="3" borderId="0" xfId="0" applyNumberFormat="1" applyFont="1" applyAlignment="1">
      <alignment vertical="center"/>
    </xf>
    <xf numFmtId="1" fontId="48" fillId="3" borderId="0" xfId="0" applyNumberFormat="1" applyFont="1" applyAlignment="1">
      <alignment horizontal="center"/>
    </xf>
    <xf numFmtId="1" fontId="49" fillId="3" borderId="0" xfId="0" applyNumberFormat="1" applyFont="1" applyAlignment="1">
      <alignment horizontal="center" vertical="center" wrapText="1"/>
    </xf>
    <xf numFmtId="1" fontId="50" fillId="9" borderId="0" xfId="0" applyNumberFormat="1" applyFont="1" applyFill="1" applyAlignment="1">
      <alignment horizontal="center" vertical="center"/>
    </xf>
    <xf numFmtId="179" fontId="0" fillId="3" borderId="43" xfId="0" applyNumberFormat="1" applyBorder="1"/>
    <xf numFmtId="170" fontId="0" fillId="3" borderId="0" xfId="0" applyNumberFormat="1"/>
    <xf numFmtId="20" fontId="0" fillId="3" borderId="44" xfId="0" applyNumberFormat="1" applyBorder="1"/>
    <xf numFmtId="0" fontId="0" fillId="3" borderId="44" xfId="0" applyBorder="1"/>
    <xf numFmtId="0" fontId="0" fillId="3" borderId="41" xfId="0" applyBorder="1"/>
    <xf numFmtId="0" fontId="0" fillId="3" borderId="42" xfId="0" applyBorder="1"/>
    <xf numFmtId="0" fontId="7" fillId="3" borderId="43" xfId="0" applyFont="1" applyBorder="1"/>
    <xf numFmtId="0" fontId="7" fillId="3" borderId="44" xfId="0" applyFont="1" applyBorder="1"/>
    <xf numFmtId="179" fontId="7" fillId="3" borderId="43" xfId="0" applyNumberFormat="1" applyFont="1" applyBorder="1" applyAlignment="1">
      <alignment horizontal="center"/>
    </xf>
    <xf numFmtId="180" fontId="7" fillId="3" borderId="49" xfId="0" applyNumberFormat="1" applyFont="1" applyBorder="1" applyAlignment="1">
      <alignment horizontal="center"/>
    </xf>
    <xf numFmtId="179" fontId="0" fillId="3" borderId="43" xfId="0" applyNumberFormat="1" applyBorder="1" applyAlignment="1">
      <alignment wrapText="1"/>
    </xf>
    <xf numFmtId="182" fontId="0" fillId="3" borderId="0" xfId="0" applyNumberFormat="1"/>
    <xf numFmtId="20" fontId="0" fillId="3" borderId="0" xfId="0" applyNumberFormat="1" applyAlignment="1">
      <alignment vertical="center"/>
    </xf>
    <xf numFmtId="20" fontId="0" fillId="16" borderId="0" xfId="0" applyNumberFormat="1" applyFill="1" applyAlignment="1">
      <alignment vertical="center"/>
    </xf>
    <xf numFmtId="171" fontId="53" fillId="9" borderId="0" xfId="0" applyNumberFormat="1" applyFont="1" applyFill="1" applyAlignment="1">
      <alignment horizontal="center" vertical="center"/>
    </xf>
    <xf numFmtId="1" fontId="53" fillId="9" borderId="0" xfId="0" applyNumberFormat="1" applyFont="1" applyFill="1" applyAlignment="1">
      <alignment horizontal="center" vertical="center"/>
    </xf>
    <xf numFmtId="0" fontId="0" fillId="3" borderId="44" xfId="0" applyBorder="1" applyAlignment="1">
      <alignment horizontal="center"/>
    </xf>
    <xf numFmtId="0" fontId="7" fillId="3" borderId="44" xfId="0" applyFont="1" applyBorder="1" applyAlignment="1">
      <alignment horizontal="center"/>
    </xf>
    <xf numFmtId="170" fontId="0" fillId="3" borderId="0" xfId="0" applyNumberFormat="1" applyAlignment="1">
      <alignment horizontal="center"/>
    </xf>
    <xf numFmtId="20" fontId="0" fillId="3" borderId="44" xfId="0" applyNumberFormat="1" applyBorder="1" applyAlignment="1">
      <alignment horizontal="center"/>
    </xf>
    <xf numFmtId="0" fontId="4" fillId="3" borderId="36" xfId="0" applyFont="1" applyBorder="1" applyAlignment="1">
      <alignment horizontal="center"/>
    </xf>
    <xf numFmtId="0" fontId="0" fillId="17" borderId="0" xfId="0" applyFill="1" applyAlignment="1">
      <alignment vertical="center"/>
    </xf>
    <xf numFmtId="178" fontId="46" fillId="3" borderId="0" xfId="0" applyNumberFormat="1" applyFont="1" applyAlignment="1">
      <alignment vertical="center"/>
    </xf>
    <xf numFmtId="0" fontId="4" fillId="3" borderId="0" xfId="0" applyFont="1" applyAlignment="1">
      <alignment horizontal="left" vertical="center"/>
    </xf>
    <xf numFmtId="0" fontId="21" fillId="18" borderId="6" xfId="1" applyFont="1" applyFill="1" applyBorder="1" applyAlignment="1">
      <alignment horizontal="left" vertical="center"/>
    </xf>
    <xf numFmtId="171" fontId="43" fillId="18" borderId="6" xfId="1" applyNumberFormat="1" applyFont="1" applyFill="1" applyBorder="1" applyAlignment="1">
      <alignment horizontal="center" vertical="center"/>
    </xf>
    <xf numFmtId="1" fontId="51" fillId="18" borderId="6" xfId="1" applyNumberFormat="1" applyFont="1" applyFill="1" applyBorder="1" applyAlignment="1">
      <alignment horizontal="center" vertical="center"/>
    </xf>
    <xf numFmtId="0" fontId="4" fillId="18" borderId="6" xfId="1" applyFont="1" applyFill="1" applyBorder="1" applyAlignment="1">
      <alignment horizontal="center" vertical="center"/>
    </xf>
    <xf numFmtId="20" fontId="54" fillId="18" borderId="0" xfId="0" applyNumberFormat="1" applyFont="1" applyFill="1" applyAlignment="1">
      <alignment vertical="center"/>
    </xf>
    <xf numFmtId="0" fontId="23" fillId="18" borderId="6" xfId="1" applyFont="1" applyFill="1" applyBorder="1" applyAlignment="1">
      <alignment vertical="center"/>
    </xf>
    <xf numFmtId="20" fontId="6" fillId="3" borderId="0" xfId="0" applyNumberFormat="1" applyFont="1" applyAlignment="1">
      <alignment horizontal="center" vertical="center"/>
    </xf>
    <xf numFmtId="20" fontId="6" fillId="16" borderId="0" xfId="0" applyNumberFormat="1" applyFont="1" applyFill="1" applyAlignment="1">
      <alignment horizontal="center" vertical="center"/>
    </xf>
    <xf numFmtId="20" fontId="52" fillId="3" borderId="0" xfId="0" applyNumberFormat="1" applyFont="1" applyAlignment="1">
      <alignment horizontal="center" vertical="center"/>
    </xf>
    <xf numFmtId="0" fontId="1" fillId="6" borderId="32" xfId="1" applyFont="1" applyFill="1" applyBorder="1" applyAlignment="1">
      <alignment horizontal="center" wrapText="1"/>
    </xf>
    <xf numFmtId="20" fontId="1" fillId="6" borderId="34" xfId="1" applyNumberFormat="1" applyFont="1" applyFill="1" applyBorder="1" applyAlignment="1">
      <alignment wrapText="1"/>
    </xf>
    <xf numFmtId="0" fontId="1" fillId="13" borderId="32" xfId="1" applyFont="1" applyFill="1" applyBorder="1" applyAlignment="1">
      <alignment horizontal="center"/>
    </xf>
    <xf numFmtId="0" fontId="1" fillId="13" borderId="21" xfId="1" applyFont="1" applyFill="1" applyBorder="1" applyAlignment="1">
      <alignment horizontal="center"/>
    </xf>
    <xf numFmtId="0" fontId="1" fillId="3" borderId="21" xfId="1" applyFont="1" applyBorder="1"/>
    <xf numFmtId="0" fontId="1" fillId="3" borderId="32" xfId="1" applyFont="1" applyBorder="1"/>
    <xf numFmtId="0" fontId="1" fillId="14" borderId="32" xfId="1" applyFont="1" applyFill="1" applyBorder="1" applyAlignment="1">
      <alignment horizontal="center" wrapText="1"/>
    </xf>
    <xf numFmtId="0" fontId="1" fillId="14" borderId="32" xfId="1" applyFont="1" applyFill="1" applyBorder="1" applyAlignment="1">
      <alignment horizontal="center"/>
    </xf>
    <xf numFmtId="0" fontId="1" fillId="15" borderId="32" xfId="1" applyFont="1" applyFill="1" applyBorder="1" applyAlignment="1">
      <alignment horizontal="center" wrapText="1"/>
    </xf>
    <xf numFmtId="0" fontId="1" fillId="3" borderId="33" xfId="1" applyFont="1" applyBorder="1"/>
    <xf numFmtId="179" fontId="0" fillId="3" borderId="35" xfId="0" applyNumberFormat="1" applyBorder="1"/>
    <xf numFmtId="179" fontId="0" fillId="3" borderId="35" xfId="0" applyNumberFormat="1" applyBorder="1" applyAlignment="1">
      <alignment wrapText="1"/>
    </xf>
    <xf numFmtId="0" fontId="20" fillId="11" borderId="31" xfId="1" applyFont="1" applyFill="1" applyBorder="1" applyAlignment="1">
      <alignment horizontal="center" vertical="center"/>
    </xf>
    <xf numFmtId="0" fontId="20" fillId="11" borderId="34" xfId="1" applyFont="1" applyFill="1" applyBorder="1" applyAlignment="1">
      <alignment horizontal="center" vertical="center"/>
    </xf>
    <xf numFmtId="0" fontId="3" fillId="3" borderId="0" xfId="1" applyAlignment="1">
      <alignment horizontal="center" wrapText="1"/>
    </xf>
    <xf numFmtId="20" fontId="14" fillId="12" borderId="21" xfId="1" applyNumberFormat="1" applyFont="1" applyFill="1" applyBorder="1" applyAlignment="1">
      <alignment horizontal="center" vertical="center" wrapText="1"/>
    </xf>
    <xf numFmtId="174" fontId="36" fillId="11" borderId="20" xfId="2" applyNumberFormat="1" applyFont="1" applyFill="1" applyBorder="1" applyAlignment="1">
      <alignment horizontal="center" wrapText="1"/>
    </xf>
    <xf numFmtId="174" fontId="36" fillId="11" borderId="26" xfId="2" applyNumberFormat="1" applyFont="1" applyFill="1" applyBorder="1" applyAlignment="1">
      <alignment horizontal="center" wrapText="1"/>
    </xf>
    <xf numFmtId="20" fontId="14" fillId="7" borderId="21" xfId="1" applyNumberFormat="1" applyFont="1" applyFill="1" applyBorder="1" applyAlignment="1">
      <alignment horizontal="center" vertical="center" wrapText="1"/>
    </xf>
    <xf numFmtId="20" fontId="14" fillId="6" borderId="25" xfId="1" applyNumberFormat="1" applyFont="1" applyFill="1" applyBorder="1" applyAlignment="1">
      <alignment horizontal="center" vertical="center" wrapText="1"/>
    </xf>
    <xf numFmtId="20" fontId="14" fillId="5" borderId="25" xfId="1" applyNumberFormat="1" applyFont="1" applyFill="1" applyBorder="1" applyAlignment="1">
      <alignment horizontal="center" vertical="center" wrapText="1"/>
    </xf>
    <xf numFmtId="0" fontId="20" fillId="11" borderId="32" xfId="1" applyFont="1" applyFill="1" applyBorder="1" applyAlignment="1">
      <alignment horizontal="center" vertical="center"/>
    </xf>
    <xf numFmtId="166" fontId="27" fillId="8" borderId="0" xfId="2" applyNumberFormat="1" applyFont="1" applyFill="1" applyBorder="1" applyAlignment="1">
      <alignment horizontal="center" wrapText="1"/>
    </xf>
    <xf numFmtId="20" fontId="7" fillId="3" borderId="8" xfId="2" applyNumberFormat="1" applyFont="1" applyFill="1" applyBorder="1" applyAlignment="1">
      <alignment horizontal="center" wrapText="1"/>
    </xf>
    <xf numFmtId="20" fontId="7" fillId="3" borderId="0" xfId="2" applyNumberFormat="1" applyFont="1" applyFill="1" applyBorder="1" applyAlignment="1">
      <alignment horizontal="center" wrapText="1"/>
    </xf>
    <xf numFmtId="0" fontId="27" fillId="8" borderId="0" xfId="2" applyFont="1" applyFill="1" applyBorder="1" applyAlignment="1">
      <alignment horizontal="center" wrapText="1"/>
    </xf>
    <xf numFmtId="9" fontId="16" fillId="3" borderId="0" xfId="3" applyFont="1" applyFill="1" applyBorder="1" applyAlignment="1">
      <alignment horizontal="center" vertical="center" wrapText="1"/>
    </xf>
    <xf numFmtId="0" fontId="7" fillId="3" borderId="45" xfId="0" applyFont="1" applyBorder="1" applyAlignment="1">
      <alignment horizontal="center"/>
    </xf>
    <xf numFmtId="0" fontId="7" fillId="3" borderId="46" xfId="0" applyFont="1" applyBorder="1" applyAlignment="1">
      <alignment horizontal="center"/>
    </xf>
    <xf numFmtId="0" fontId="7" fillId="3" borderId="47" xfId="0" applyFont="1" applyBorder="1" applyAlignment="1">
      <alignment horizontal="center"/>
    </xf>
    <xf numFmtId="179" fontId="7" fillId="3" borderId="48" xfId="0" applyNumberFormat="1" applyFont="1" applyBorder="1" applyAlignment="1">
      <alignment horizontal="center"/>
    </xf>
    <xf numFmtId="179" fontId="7" fillId="3" borderId="46" xfId="0" applyNumberFormat="1" applyFont="1" applyBorder="1" applyAlignment="1">
      <alignment horizontal="center"/>
    </xf>
    <xf numFmtId="0" fontId="0" fillId="3" borderId="50" xfId="0" applyBorder="1" applyAlignment="1">
      <alignment horizontal="center"/>
    </xf>
    <xf numFmtId="0" fontId="0" fillId="3" borderId="2" xfId="0" applyBorder="1" applyAlignment="1">
      <alignment horizontal="center"/>
    </xf>
    <xf numFmtId="178" fontId="7" fillId="3" borderId="2" xfId="0" applyNumberFormat="1" applyFont="1" applyBorder="1" applyAlignment="1">
      <alignment horizontal="center"/>
    </xf>
    <xf numFmtId="178" fontId="7" fillId="3" borderId="51" xfId="0" applyNumberFormat="1" applyFont="1" applyBorder="1" applyAlignment="1">
      <alignment horizontal="center"/>
    </xf>
    <xf numFmtId="0" fontId="0" fillId="3" borderId="43" xfId="0" applyBorder="1" applyAlignment="1">
      <alignment horizontal="center" vertical="center" wrapText="1"/>
    </xf>
    <xf numFmtId="0" fontId="0" fillId="3" borderId="0" xfId="0" applyAlignment="1">
      <alignment horizontal="center" vertical="center" wrapText="1"/>
    </xf>
    <xf numFmtId="2" fontId="6" fillId="3" borderId="40" xfId="0" applyNumberFormat="1" applyFont="1" applyBorder="1" applyAlignment="1">
      <alignment horizontal="center" vertical="center"/>
    </xf>
    <xf numFmtId="171" fontId="55" fillId="9" borderId="0" xfId="0" applyNumberFormat="1" applyFont="1" applyFill="1" applyAlignment="1">
      <alignment horizontal="center" vertical="center"/>
    </xf>
    <xf numFmtId="1" fontId="56" fillId="9" borderId="0" xfId="0" applyNumberFormat="1" applyFont="1" applyFill="1" applyAlignment="1">
      <alignment horizontal="center" vertical="center"/>
    </xf>
    <xf numFmtId="183" fontId="57" fillId="3" borderId="0" xfId="0" applyNumberFormat="1" applyFont="1" applyAlignment="1">
      <alignment horizontal="center" vertical="center"/>
    </xf>
    <xf numFmtId="178" fontId="57" fillId="3" borderId="0" xfId="0" applyNumberFormat="1" applyFont="1" applyAlignment="1">
      <alignment horizontal="center" vertical="center"/>
    </xf>
    <xf numFmtId="0" fontId="58" fillId="2" borderId="3" xfId="0" applyFont="1" applyFill="1" applyBorder="1" applyAlignment="1">
      <alignment horizontal="center" vertical="center" wrapText="1"/>
    </xf>
    <xf numFmtId="1" fontId="58" fillId="2" borderId="3" xfId="0" applyNumberFormat="1" applyFont="1" applyFill="1" applyBorder="1" applyAlignment="1">
      <alignment horizontal="center" vertical="center" wrapText="1"/>
    </xf>
    <xf numFmtId="0" fontId="58" fillId="2" borderId="1" xfId="0" applyFont="1" applyFill="1" applyBorder="1" applyAlignment="1">
      <alignment horizontal="center" vertical="center" wrapText="1"/>
    </xf>
    <xf numFmtId="164" fontId="58" fillId="2" borderId="3" xfId="0" applyNumberFormat="1" applyFont="1" applyFill="1" applyBorder="1" applyAlignment="1">
      <alignment horizontal="center" vertical="center" wrapText="1"/>
    </xf>
    <xf numFmtId="1" fontId="58" fillId="2" borderId="4" xfId="0" applyNumberFormat="1" applyFont="1" applyFill="1" applyBorder="1" applyAlignment="1">
      <alignment horizontal="center" vertical="center" wrapText="1"/>
    </xf>
    <xf numFmtId="0" fontId="5" fillId="3" borderId="0" xfId="0" applyFont="1" applyAlignment="1">
      <alignment vertical="center"/>
    </xf>
    <xf numFmtId="0" fontId="5" fillId="3" borderId="0" xfId="0" applyFont="1" applyAlignment="1">
      <alignment horizontal="center" vertical="center"/>
    </xf>
    <xf numFmtId="20" fontId="5" fillId="3" borderId="0" xfId="0" applyNumberFormat="1" applyFont="1" applyAlignment="1">
      <alignment vertical="center"/>
    </xf>
    <xf numFmtId="177" fontId="5" fillId="3" borderId="0" xfId="0" applyNumberFormat="1" applyFont="1" applyAlignment="1">
      <alignment horizontal="center" vertical="center"/>
    </xf>
    <xf numFmtId="170" fontId="5" fillId="3" borderId="0" xfId="0" applyNumberFormat="1" applyFont="1" applyAlignment="1">
      <alignment horizontal="center" vertical="center"/>
    </xf>
    <xf numFmtId="0" fontId="5" fillId="3" borderId="0" xfId="0" applyFont="1" applyAlignment="1">
      <alignment horizontal="left" vertical="center"/>
    </xf>
    <xf numFmtId="172" fontId="61" fillId="2" borderId="37" xfId="0" applyNumberFormat="1" applyFont="1" applyFill="1" applyBorder="1" applyAlignment="1">
      <alignment horizontal="center"/>
    </xf>
    <xf numFmtId="184" fontId="62" fillId="3" borderId="39" xfId="0" applyNumberFormat="1" applyFont="1" applyBorder="1" applyAlignment="1">
      <alignment horizontal="center" vertical="center"/>
    </xf>
    <xf numFmtId="0" fontId="59" fillId="18" borderId="52" xfId="1" applyFont="1" applyFill="1" applyBorder="1" applyAlignment="1">
      <alignment horizontal="left" vertical="center"/>
    </xf>
    <xf numFmtId="171" fontId="59" fillId="18" borderId="52" xfId="1" applyNumberFormat="1" applyFont="1" applyFill="1" applyBorder="1" applyAlignment="1">
      <alignment horizontal="center" vertical="center"/>
    </xf>
    <xf numFmtId="1" fontId="59" fillId="18" borderId="52" xfId="1" applyNumberFormat="1" applyFont="1" applyFill="1" applyBorder="1" applyAlignment="1">
      <alignment horizontal="center" vertical="center"/>
    </xf>
    <xf numFmtId="0" fontId="5" fillId="18" borderId="52" xfId="1" applyFont="1" applyFill="1" applyBorder="1" applyAlignment="1">
      <alignment horizontal="center" vertical="center"/>
    </xf>
    <xf numFmtId="177" fontId="36" fillId="18" borderId="52" xfId="0" applyNumberFormat="1" applyFont="1" applyFill="1" applyBorder="1" applyAlignment="1">
      <alignment horizontal="center" vertical="center"/>
    </xf>
    <xf numFmtId="170" fontId="36" fillId="18" borderId="52" xfId="0" applyNumberFormat="1" applyFont="1" applyFill="1" applyBorder="1" applyAlignment="1">
      <alignment horizontal="center" vertical="center"/>
    </xf>
    <xf numFmtId="20" fontId="41" fillId="18" borderId="52" xfId="0" applyNumberFormat="1" applyFont="1" applyFill="1" applyBorder="1" applyAlignment="1">
      <alignment vertical="center"/>
    </xf>
    <xf numFmtId="0" fontId="60" fillId="3" borderId="0" xfId="0" applyFont="1" applyAlignment="1">
      <alignment horizontal="center"/>
    </xf>
    <xf numFmtId="185" fontId="63" fillId="3" borderId="0" xfId="0" applyNumberFormat="1" applyFont="1" applyFill="1" applyAlignment="1">
      <alignment horizontal="center" vertical="center"/>
    </xf>
    <xf numFmtId="0" fontId="66" fillId="3" borderId="0" xfId="0" applyFont="1" applyFill="1" applyAlignment="1">
      <alignment horizontal="center" vertical="center"/>
    </xf>
    <xf numFmtId="20" fontId="65" fillId="3" borderId="0" xfId="0" applyNumberFormat="1" applyFont="1" applyFill="1" applyAlignment="1">
      <alignment horizontal="center" vertical="center"/>
    </xf>
    <xf numFmtId="0" fontId="65" fillId="3" borderId="0" xfId="0" applyFont="1" applyFill="1" applyAlignment="1">
      <alignment horizontal="center" vertical="center"/>
    </xf>
    <xf numFmtId="20" fontId="68" fillId="3" borderId="0" xfId="0" applyNumberFormat="1" applyFont="1" applyFill="1" applyAlignment="1">
      <alignment horizontal="center" vertical="center"/>
    </xf>
    <xf numFmtId="20" fontId="67" fillId="3" borderId="0" xfId="0" applyNumberFormat="1" applyFont="1" applyFill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0" xfId="0" applyFont="1" applyFill="1" applyAlignment="1">
      <alignment horizontal="center"/>
    </xf>
    <xf numFmtId="0" fontId="67" fillId="3" borderId="0" xfId="0" applyFont="1" applyFill="1"/>
    <xf numFmtId="20" fontId="67" fillId="3" borderId="0" xfId="0" applyNumberFormat="1" applyFont="1" applyFill="1" applyAlignment="1">
      <alignment horizontal="center"/>
    </xf>
    <xf numFmtId="185" fontId="65" fillId="20" borderId="0" xfId="0" applyNumberFormat="1" applyFont="1" applyFill="1" applyAlignment="1">
      <alignment horizontal="center" vertical="center"/>
    </xf>
    <xf numFmtId="0" fontId="64" fillId="19" borderId="0" xfId="0" applyFont="1" applyFill="1" applyAlignment="1">
      <alignment horizontal="center" vertical="center"/>
    </xf>
    <xf numFmtId="185" fontId="69" fillId="17" borderId="0" xfId="0" applyNumberFormat="1" applyFont="1" applyFill="1" applyAlignment="1">
      <alignment horizontal="center" vertical="center"/>
    </xf>
  </cellXfs>
  <cellStyles count="5">
    <cellStyle name="Heading 1" xfId="4" builtinId="16" customBuiltin="1"/>
    <cellStyle name="Normal" xfId="0" builtinId="0" customBuiltin="1"/>
    <cellStyle name="Normal 2" xfId="1" xr:uid="{99CFB76E-67DF-4045-A55B-25EA5FE2C211}"/>
    <cellStyle name="Normal 3" xfId="2" xr:uid="{E24E5C0C-E91E-47E4-AE6F-58BC1BA91685}"/>
    <cellStyle name="Percent 2" xfId="3" xr:uid="{2A6FDDA8-718A-4630-955E-6B2EA3E94290}"/>
  </cellStyles>
  <dxfs count="34"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ont>
        <color theme="6" tint="-0.24994659260841701"/>
      </font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24994659260841701"/>
      </font>
    </dxf>
    <dxf>
      <font>
        <color theme="6" tint="-0.24994659260841701"/>
      </font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1" defaultTableStyle="TableStyleMedium2" defaultPivotStyle="PivotStyleLight16">
    <tableStyle name="Table Style 1" pivot="0" count="0" xr9:uid="{82F40B83-8096-4E5B-98EA-C563D0DC2E15}"/>
  </tableStyles>
  <colors>
    <mruColors>
      <color rgb="FF859B98"/>
      <color rgb="FF99ABA9"/>
      <color rgb="FF44546A"/>
      <color rgb="FFDEFEF8"/>
      <color rgb="FF2B3E42"/>
      <color rgb="FFE4ECE9"/>
      <color rgb="FFF8F8F8"/>
      <color rgb="FFA2B3B1"/>
      <color rgb="FFE6EAE9"/>
      <color rgb="FFDBE1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160516780578511E-4"/>
          <c:y val="1.880008587026418E-3"/>
          <c:w val="0.99907842654937484"/>
          <c:h val="0.83761506307438061"/>
        </c:manualLayout>
      </c:layout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6576AB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W!$E$33:$E$39</c:f>
              <c:strCache>
                <c:ptCount val="7"/>
                <c:pt idx="0">
                  <c:v>Mon 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W!$F$33:$F$39</c:f>
              <c:numCache>
                <c:formatCode>hh:m</c:formatCode>
                <c:ptCount val="7"/>
                <c:pt idx="0">
                  <c:v>0</c:v>
                </c:pt>
                <c:pt idx="1">
                  <c:v>2.7777777777777776E-2</c:v>
                </c:pt>
                <c:pt idx="2">
                  <c:v>0</c:v>
                </c:pt>
                <c:pt idx="3">
                  <c:v>0.15555555555555556</c:v>
                </c:pt>
                <c:pt idx="4">
                  <c:v>0.125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95-4D2B-A8A2-F45C50F2BBE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44643384"/>
        <c:axId val="544646992"/>
      </c:lineChart>
      <c:catAx>
        <c:axId val="544643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646992"/>
        <c:crosses val="autoZero"/>
        <c:auto val="1"/>
        <c:lblAlgn val="ctr"/>
        <c:lblOffset val="100"/>
        <c:noMultiLvlLbl val="0"/>
      </c:catAx>
      <c:valAx>
        <c:axId val="544646992"/>
        <c:scaling>
          <c:orientation val="minMax"/>
        </c:scaling>
        <c:delete val="1"/>
        <c:axPos val="l"/>
        <c:numFmt formatCode="hh:m" sourceLinked="1"/>
        <c:majorTickMark val="none"/>
        <c:minorTickMark val="none"/>
        <c:tickLblPos val="nextTo"/>
        <c:crossAx val="54464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 sz="14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$A$38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</xdr:colOff>
      <xdr:row>0</xdr:row>
      <xdr:rowOff>22860</xdr:rowOff>
    </xdr:from>
    <xdr:to>
      <xdr:col>6</xdr:col>
      <xdr:colOff>0</xdr:colOff>
      <xdr:row>0</xdr:row>
      <xdr:rowOff>200026</xdr:rowOff>
    </xdr:to>
    <xdr:sp macro="[0]!Tomarow" textlink="">
      <xdr:nvSpPr>
        <xdr:cNvPr id="2" name="Rectangle: Top Corners Snippe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23510" y="22860"/>
          <a:ext cx="3777615" cy="177166"/>
        </a:xfrm>
        <a:prstGeom prst="snip2SameRect">
          <a:avLst/>
        </a:prstGeom>
        <a:solidFill>
          <a:schemeClr val="accent5">
            <a:lumMod val="40000"/>
            <a:lumOff val="60000"/>
            <a:alpha val="7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</xdr:colOff>
      <xdr:row>0</xdr:row>
      <xdr:rowOff>22859</xdr:rowOff>
    </xdr:from>
    <xdr:to>
      <xdr:col>9</xdr:col>
      <xdr:colOff>192405</xdr:colOff>
      <xdr:row>1</xdr:row>
      <xdr:rowOff>2720</xdr:rowOff>
    </xdr:to>
    <xdr:sp macro="[0]!Tranfer" textlink="">
      <xdr:nvSpPr>
        <xdr:cNvPr id="3" name="Rectangle: Top Corners Snipp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04935" y="22859"/>
          <a:ext cx="3474720" cy="189411"/>
        </a:xfrm>
        <a:prstGeom prst="snip2SameRect">
          <a:avLst/>
        </a:prstGeom>
        <a:solidFill>
          <a:schemeClr val="accent2">
            <a:lumMod val="90000"/>
            <a:alpha val="7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66675</xdr:rowOff>
        </xdr:from>
        <xdr:to>
          <xdr:col>2</xdr:col>
          <xdr:colOff>323850</xdr:colOff>
          <xdr:row>37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37</xdr:row>
          <xdr:rowOff>66675</xdr:rowOff>
        </xdr:from>
        <xdr:to>
          <xdr:col>2</xdr:col>
          <xdr:colOff>247650</xdr:colOff>
          <xdr:row>37</xdr:row>
          <xdr:rowOff>209550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66675</xdr:rowOff>
        </xdr:from>
        <xdr:to>
          <xdr:col>2</xdr:col>
          <xdr:colOff>323850</xdr:colOff>
          <xdr:row>37</xdr:row>
          <xdr:rowOff>19050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38</xdr:row>
          <xdr:rowOff>66675</xdr:rowOff>
        </xdr:from>
        <xdr:to>
          <xdr:col>2</xdr:col>
          <xdr:colOff>247650</xdr:colOff>
          <xdr:row>39</xdr:row>
          <xdr:rowOff>95250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39</xdr:row>
          <xdr:rowOff>66675</xdr:rowOff>
        </xdr:from>
        <xdr:to>
          <xdr:col>2</xdr:col>
          <xdr:colOff>247650</xdr:colOff>
          <xdr:row>40</xdr:row>
          <xdr:rowOff>152400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40</xdr:row>
          <xdr:rowOff>66675</xdr:rowOff>
        </xdr:from>
        <xdr:to>
          <xdr:col>2</xdr:col>
          <xdr:colOff>247650</xdr:colOff>
          <xdr:row>41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66675</xdr:rowOff>
        </xdr:from>
        <xdr:to>
          <xdr:col>2</xdr:col>
          <xdr:colOff>247650</xdr:colOff>
          <xdr:row>42</xdr:row>
          <xdr:rowOff>152400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42</xdr:row>
          <xdr:rowOff>66675</xdr:rowOff>
        </xdr:from>
        <xdr:to>
          <xdr:col>2</xdr:col>
          <xdr:colOff>247650</xdr:colOff>
          <xdr:row>43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11431</xdr:colOff>
      <xdr:row>43</xdr:row>
      <xdr:rowOff>85726</xdr:rowOff>
    </xdr:from>
    <xdr:ext cx="236219" cy="304799"/>
    <xdr:sp macro="" textlink="">
      <xdr:nvSpPr>
        <xdr:cNvPr id="1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143251" y="92221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4</xdr:col>
      <xdr:colOff>1440180</xdr:colOff>
      <xdr:row>23</xdr:row>
      <xdr:rowOff>160020</xdr:rowOff>
    </xdr:from>
    <xdr:to>
      <xdr:col>4</xdr:col>
      <xdr:colOff>2286000</xdr:colOff>
      <xdr:row>25</xdr:row>
      <xdr:rowOff>30480</xdr:rowOff>
    </xdr:to>
    <xdr:sp macro="" textlink="$D$29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2840" y="4815840"/>
          <a:ext cx="845820" cy="31242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33AF97DA-1FAC-48E5-8A67-8E2C736C252D}" type="TxLink">
            <a:rPr lang="en-US" sz="1600" b="1" i="0" u="none" strike="noStrike">
              <a:solidFill>
                <a:schemeClr val="tx2"/>
              </a:solidFill>
              <a:latin typeface="Arial"/>
              <a:cs typeface="Arial"/>
            </a:rPr>
            <a:pPr algn="l"/>
            <a:t>0:00</a:t>
          </a:fld>
          <a:endParaRPr lang="en-US" sz="1400">
            <a:solidFill>
              <a:schemeClr val="tx2"/>
            </a:solidFill>
          </a:endParaRPr>
        </a:p>
      </xdr:txBody>
    </xdr:sp>
    <xdr:clientData/>
  </xdr:two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3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7620" y="479488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7620" y="47263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1143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1143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10</xdr:row>
      <xdr:rowOff>85726</xdr:rowOff>
    </xdr:from>
    <xdr:ext cx="236219" cy="304799"/>
    <xdr:sp macro="" textlink="">
      <xdr:nvSpPr>
        <xdr:cNvPr id="1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10</xdr:row>
      <xdr:rowOff>85726</xdr:rowOff>
    </xdr:from>
    <xdr:ext cx="236219" cy="304799"/>
    <xdr:sp macro="" textlink="">
      <xdr:nvSpPr>
        <xdr:cNvPr id="1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2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2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2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2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3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3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3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4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5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5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5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5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6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6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6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6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6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7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7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7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7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8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8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8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9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9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9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0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0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0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1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1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1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1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2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2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2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2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3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3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3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5673091" y="242506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3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5673091" y="263842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4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11</xdr:row>
      <xdr:rowOff>85726</xdr:rowOff>
    </xdr:from>
    <xdr:ext cx="236219" cy="304799"/>
    <xdr:sp macro="" textlink="">
      <xdr:nvSpPr>
        <xdr:cNvPr id="14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5673091" y="199834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4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5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6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7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8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5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6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7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8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199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20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201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202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203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11431</xdr:colOff>
      <xdr:row>12</xdr:row>
      <xdr:rowOff>85726</xdr:rowOff>
    </xdr:from>
    <xdr:ext cx="236219" cy="304799"/>
    <xdr:sp macro="" textlink="">
      <xdr:nvSpPr>
        <xdr:cNvPr id="204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 bwMode="auto">
        <a:xfrm>
          <a:off x="5673091" y="2211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10885</xdr:rowOff>
    </xdr:from>
    <xdr:to>
      <xdr:col>31</xdr:col>
      <xdr:colOff>573405</xdr:colOff>
      <xdr:row>30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11431</xdr:colOff>
      <xdr:row>19</xdr:row>
      <xdr:rowOff>85726</xdr:rowOff>
    </xdr:from>
    <xdr:ext cx="236219" cy="304799"/>
    <xdr:sp macro="" textlink="">
      <xdr:nvSpPr>
        <xdr:cNvPr id="10" name="Check Box 34" hidden="1">
          <a:extLst>
            <a:ext uri="{63B3BB69-23CF-44E3-9099-C40C66FF867C}">
              <a14:compatExt xmlns:a14="http://schemas.microsoft.com/office/drawing/2010/main" spid="_x0000_s15394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19051" y="4116706"/>
          <a:ext cx="236219" cy="3047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0</xdr:col>
      <xdr:colOff>0</xdr:colOff>
      <xdr:row>0</xdr:row>
      <xdr:rowOff>0</xdr:rowOff>
    </xdr:from>
    <xdr:to>
      <xdr:col>6</xdr:col>
      <xdr:colOff>21772</xdr:colOff>
      <xdr:row>0</xdr:row>
      <xdr:rowOff>239486</xdr:rowOff>
    </xdr:to>
    <xdr:sp macro="[0]!CreatWee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0" y="0"/>
          <a:ext cx="2895601" cy="239486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31295</xdr:colOff>
      <xdr:row>0</xdr:row>
      <xdr:rowOff>0</xdr:rowOff>
    </xdr:from>
    <xdr:to>
      <xdr:col>9</xdr:col>
      <xdr:colOff>442503</xdr:colOff>
      <xdr:row>0</xdr:row>
      <xdr:rowOff>239486</xdr:rowOff>
    </xdr:to>
    <xdr:sp macro="[0]!WeeklyWisth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905124" y="0"/>
          <a:ext cx="2914922" cy="239486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8466</xdr:colOff>
      <xdr:row>0</xdr:row>
      <xdr:rowOff>25400</xdr:rowOff>
    </xdr:from>
    <xdr:to>
      <xdr:col>5</xdr:col>
      <xdr:colOff>0</xdr:colOff>
      <xdr:row>0</xdr:row>
      <xdr:rowOff>254000</xdr:rowOff>
    </xdr:to>
    <xdr:sp macro="[0]!CreatWee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06533" y="25400"/>
          <a:ext cx="4639734" cy="228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Push</a:t>
          </a:r>
          <a:r>
            <a:rPr lang="en-US" sz="1100" b="1" baseline="0"/>
            <a:t> to For the tasks</a:t>
          </a:r>
          <a:endParaRPr lang="ru-RU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47626</xdr:colOff>
      <xdr:row>2</xdr:row>
      <xdr:rowOff>112889</xdr:rowOff>
    </xdr:from>
    <xdr:to>
      <xdr:col>5</xdr:col>
      <xdr:colOff>1</xdr:colOff>
      <xdr:row>4</xdr:row>
      <xdr:rowOff>268113</xdr:rowOff>
    </xdr:to>
    <xdr:sp macro="[0]!ALTShowPlanSim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8376" y="112889"/>
          <a:ext cx="3524250" cy="837849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accent2">
                  <a:lumMod val="10000"/>
                </a:schemeClr>
              </a:solidFill>
            </a:rPr>
            <a:t>Push to schedule</a:t>
          </a:r>
          <a:endParaRPr lang="en-US" sz="1100" b="1">
            <a:solidFill>
              <a:schemeClr val="accent2">
                <a:lumMod val="10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2</xdr:row>
      <xdr:rowOff>23811</xdr:rowOff>
    </xdr:from>
    <xdr:to>
      <xdr:col>2</xdr:col>
      <xdr:colOff>881062</xdr:colOff>
      <xdr:row>5</xdr:row>
      <xdr:rowOff>238124</xdr:rowOff>
    </xdr:to>
    <xdr:sp macro="[0]!D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57624" y="547686"/>
          <a:ext cx="1750219" cy="10001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/>
            <a:t>This will delite all the tasks</a:t>
          </a:r>
          <a:r>
            <a:rPr lang="en-GB" sz="1400" b="0" baseline="0"/>
            <a:t> in this list from the Schedule</a:t>
          </a:r>
          <a:endParaRPr lang="en-GB" sz="14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%20plans/WEEK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!!Daly%20planing/!PROJECT%20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WEEK"/>
    </sheet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y"/>
      <sheetName val="Week"/>
      <sheetName val="Week1"/>
      <sheetName val="DashBord"/>
      <sheetName val="School"/>
      <sheetName val="Learn"/>
      <sheetName val="Money"/>
      <sheetName val="Health"/>
      <sheetName val="Resources"/>
      <sheetName val="Other"/>
      <sheetName val="WBS"/>
      <sheetName val="funtion"/>
      <sheetName val="Curent"/>
      <sheetName val="!PROJECT l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Resources</v>
          </cell>
        </row>
      </sheetData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My coller sheam">
      <a:dk1>
        <a:srgbClr val="2B3E42"/>
      </a:dk1>
      <a:lt1>
        <a:srgbClr val="FFFFFF"/>
      </a:lt1>
      <a:dk2>
        <a:srgbClr val="44546A"/>
      </a:dk2>
      <a:lt2>
        <a:srgbClr val="FAF7F0"/>
      </a:lt2>
      <a:accent1>
        <a:srgbClr val="747E80"/>
      </a:accent1>
      <a:accent2>
        <a:srgbClr val="D5E1DD"/>
      </a:accent2>
      <a:accent3>
        <a:srgbClr val="FF3857"/>
      </a:accent3>
      <a:accent4>
        <a:srgbClr val="6ABAD0"/>
      </a:accent4>
      <a:accent5>
        <a:srgbClr val="05A285"/>
      </a:accent5>
      <a:accent6>
        <a:srgbClr val="A8D890"/>
      </a:accent6>
      <a:hlink>
        <a:srgbClr val="6F3B55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9B57-3256-491E-98F9-285F70ABBE8A}">
  <sheetPr codeName="Sheet16">
    <tabColor rgb="FF6576AB"/>
  </sheetPr>
  <dimension ref="A1:U100"/>
  <sheetViews>
    <sheetView zoomScaleNormal="100" workbookViewId="0">
      <selection activeCell="E7" sqref="E7:F13"/>
    </sheetView>
  </sheetViews>
  <sheetFormatPr defaultColWidth="9.26953125" defaultRowHeight="18" x14ac:dyDescent="0.25"/>
  <cols>
    <col min="1" max="1" width="32.453125" style="8" customWidth="1"/>
    <col min="2" max="2" width="9.453125" style="8" customWidth="1"/>
    <col min="3" max="3" width="3.1796875" style="8" customWidth="1"/>
    <col min="4" max="4" width="7.90625" style="8" customWidth="1"/>
    <col min="5" max="5" width="22" style="8" customWidth="1"/>
    <col min="6" max="6" width="5.7265625" style="8" customWidth="1"/>
    <col min="7" max="7" width="6.6328125" style="8" customWidth="1"/>
    <col min="8" max="8" width="5.453125" style="8" customWidth="1"/>
    <col min="9" max="9" width="14.1796875" style="8" customWidth="1"/>
    <col min="10" max="10" width="4.81640625" style="8" customWidth="1"/>
    <col min="11" max="11" width="28.90625" style="8" customWidth="1"/>
    <col min="12" max="12" width="19.7265625" style="8" customWidth="1"/>
    <col min="13" max="13" width="12.1796875" style="8" customWidth="1"/>
    <col min="14" max="14" width="12" style="8" customWidth="1"/>
    <col min="15" max="15" width="13.453125" style="8" customWidth="1"/>
    <col min="16" max="16" width="17.1796875" style="8" customWidth="1"/>
    <col min="17" max="21" width="12.90625" style="52" customWidth="1"/>
    <col min="22" max="22" width="10.54296875" style="8" customWidth="1"/>
    <col min="23" max="16384" width="9.26953125" style="8"/>
  </cols>
  <sheetData>
    <row r="1" spans="1:21" ht="14.65" customHeight="1" thickBot="1" x14ac:dyDescent="0.4">
      <c r="A1" s="91">
        <f ca="1">D2</f>
        <v>45092</v>
      </c>
      <c r="B1"/>
      <c r="C1" s="11">
        <v>3</v>
      </c>
      <c r="D1" s="11">
        <v>4</v>
      </c>
      <c r="E1" s="11">
        <v>5</v>
      </c>
      <c r="F1" s="11">
        <v>8</v>
      </c>
      <c r="G1" s="11"/>
      <c r="H1" s="11">
        <v>7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</row>
    <row r="2" spans="1:21" s="63" customFormat="1" ht="18.600000000000001" customHeight="1" thickTop="1" x14ac:dyDescent="0.35">
      <c r="B2" s="92"/>
      <c r="D2" s="163">
        <f ca="1">TODAY()+1</f>
        <v>45092</v>
      </c>
      <c r="E2" s="164"/>
      <c r="F2" s="164"/>
      <c r="G2" s="164"/>
      <c r="H2" s="164"/>
      <c r="I2" s="159" t="s">
        <v>0</v>
      </c>
      <c r="J2" s="160"/>
      <c r="K2" s="65" t="s">
        <v>1</v>
      </c>
      <c r="L2" s="65" t="s">
        <v>2</v>
      </c>
      <c r="M2" s="65" t="s">
        <v>3</v>
      </c>
      <c r="N2" s="65" t="s">
        <v>4</v>
      </c>
      <c r="O2" s="65" t="s">
        <v>5</v>
      </c>
      <c r="Q2" s="66" t="s">
        <v>1</v>
      </c>
      <c r="R2" s="66" t="s">
        <v>2</v>
      </c>
      <c r="S2" s="66" t="s">
        <v>3</v>
      </c>
      <c r="T2" s="66" t="s">
        <v>4</v>
      </c>
      <c r="U2" s="66" t="s">
        <v>5</v>
      </c>
    </row>
    <row r="3" spans="1:21" s="9" customFormat="1" ht="14.65" hidden="1" customHeight="1" thickTop="1" x14ac:dyDescent="0.35">
      <c r="A3"/>
      <c r="B3"/>
      <c r="D3" s="48"/>
      <c r="E3" s="49" t="s">
        <v>6</v>
      </c>
      <c r="F3" s="49" t="s">
        <v>7</v>
      </c>
      <c r="G3" s="49" t="s">
        <v>8</v>
      </c>
      <c r="H3" s="49" t="s">
        <v>9</v>
      </c>
      <c r="J3" s="76"/>
      <c r="K3" s="53"/>
      <c r="L3" s="54"/>
      <c r="M3" s="53"/>
      <c r="N3" s="54"/>
      <c r="O3" s="53"/>
      <c r="Q3" s="52" t="s">
        <v>10</v>
      </c>
      <c r="R3" s="59">
        <v>44337</v>
      </c>
      <c r="S3" s="60">
        <v>0.375</v>
      </c>
      <c r="T3" s="59">
        <v>44337</v>
      </c>
      <c r="U3" s="60">
        <v>0.3888888888888889</v>
      </c>
    </row>
    <row r="4" spans="1:21" ht="16.899999999999999" customHeight="1" x14ac:dyDescent="0.25">
      <c r="A4" s="92"/>
      <c r="B4" s="94"/>
      <c r="C4" s="12"/>
      <c r="D4" s="166" t="s">
        <v>11</v>
      </c>
      <c r="E4" s="92"/>
      <c r="F4" s="94"/>
      <c r="G4" s="50"/>
      <c r="H4" s="50">
        <f>Day!$G4+Day!$F4</f>
        <v>0</v>
      </c>
      <c r="I4" s="147" t="s">
        <v>12</v>
      </c>
      <c r="J4" s="148">
        <v>4.1666666666666664E-2</v>
      </c>
      <c r="K4" s="53">
        <f>Day!$E4</f>
        <v>0</v>
      </c>
      <c r="L4" s="55" t="str">
        <f ca="1">TEXT($D$2, "mm/dd/yyyy")</f>
        <v>06/15/2023</v>
      </c>
      <c r="M4" s="53">
        <f>G4</f>
        <v>0</v>
      </c>
      <c r="N4" s="55" t="str">
        <f ca="1">TEXT($D$2, "mm/dd/yyyy")</f>
        <v>06/15/2023</v>
      </c>
      <c r="O4" s="50">
        <f>H4</f>
        <v>0</v>
      </c>
      <c r="Q4" s="52" t="s">
        <v>13</v>
      </c>
      <c r="R4" s="59">
        <v>44337</v>
      </c>
      <c r="S4" s="60">
        <v>0.38888888888888901</v>
      </c>
      <c r="T4" s="59">
        <v>44337</v>
      </c>
      <c r="U4" s="60">
        <v>0.4166666666666668</v>
      </c>
    </row>
    <row r="5" spans="1:21" ht="16.899999999999999" customHeight="1" x14ac:dyDescent="0.25">
      <c r="B5" s="94"/>
      <c r="C5" s="13"/>
      <c r="D5" s="166"/>
      <c r="E5" s="92"/>
      <c r="F5" s="94"/>
      <c r="G5" s="50"/>
      <c r="H5" s="50">
        <f>Day!$G5+Day!$F5</f>
        <v>0</v>
      </c>
      <c r="I5" s="149" t="s">
        <v>14</v>
      </c>
      <c r="J5" s="77">
        <v>6.9444444444444441E-3</v>
      </c>
      <c r="K5" s="53">
        <f>Day!$E5</f>
        <v>0</v>
      </c>
      <c r="L5" s="55" t="str">
        <f t="shared" ref="L5:N24" ca="1" si="0">TEXT($D$2, "mm/dd/yyyy")</f>
        <v>06/15/2023</v>
      </c>
      <c r="M5" s="53">
        <f t="shared" ref="M5" si="1">G5</f>
        <v>0</v>
      </c>
      <c r="N5" s="55" t="str">
        <f t="shared" ca="1" si="0"/>
        <v>06/15/2023</v>
      </c>
      <c r="O5" s="50">
        <f t="shared" ref="O5:O24" si="2">H5</f>
        <v>0</v>
      </c>
      <c r="Q5" s="52" t="s">
        <v>15</v>
      </c>
      <c r="R5" s="59">
        <v>44337</v>
      </c>
      <c r="S5" s="60">
        <v>0.41666666666666702</v>
      </c>
      <c r="T5" s="59">
        <v>44337</v>
      </c>
      <c r="U5" s="60">
        <v>0.4583333333333337</v>
      </c>
    </row>
    <row r="6" spans="1:21" ht="16.899999999999999" customHeight="1" x14ac:dyDescent="0.25">
      <c r="A6" s="92" t="s">
        <v>16</v>
      </c>
      <c r="B6" s="94">
        <v>2.0833333333333332E-2</v>
      </c>
      <c r="C6" s="13"/>
      <c r="D6" s="166"/>
      <c r="E6" s="92"/>
      <c r="F6" s="94"/>
      <c r="G6" s="50"/>
      <c r="H6" s="50">
        <f>Day!$G6+Day!$F6</f>
        <v>0</v>
      </c>
      <c r="I6" s="150" t="s">
        <v>17</v>
      </c>
      <c r="J6" s="77">
        <v>1.3888888888888888E-2</v>
      </c>
      <c r="K6" s="53">
        <f>Day!$E6</f>
        <v>0</v>
      </c>
      <c r="L6" s="55" t="str">
        <f t="shared" ca="1" si="0"/>
        <v>06/15/2023</v>
      </c>
      <c r="M6" s="53">
        <f>G6</f>
        <v>0</v>
      </c>
      <c r="N6" s="55" t="str">
        <f t="shared" ca="1" si="0"/>
        <v>06/15/2023</v>
      </c>
      <c r="O6" s="50">
        <f t="shared" si="2"/>
        <v>0</v>
      </c>
      <c r="Q6" s="52" t="s">
        <v>18</v>
      </c>
      <c r="R6" s="59">
        <v>44337</v>
      </c>
      <c r="S6" s="60">
        <v>0.45833333333333298</v>
      </c>
      <c r="T6" s="59">
        <v>44337</v>
      </c>
      <c r="U6" s="60">
        <v>0.4652777777777774</v>
      </c>
    </row>
    <row r="7" spans="1:21" ht="16.899999999999999" customHeight="1" x14ac:dyDescent="0.25">
      <c r="A7" s="92" t="s">
        <v>19</v>
      </c>
      <c r="B7" s="94">
        <v>1.3888888888888888E-2</v>
      </c>
      <c r="C7" s="13"/>
      <c r="D7" s="167" t="s">
        <v>20</v>
      </c>
      <c r="E7" s="92"/>
      <c r="F7" s="94"/>
      <c r="G7" s="50">
        <v>0.375</v>
      </c>
      <c r="H7" s="50">
        <f>Day!$G7+Day!$F7</f>
        <v>0.375</v>
      </c>
      <c r="I7" s="150" t="s">
        <v>21</v>
      </c>
      <c r="J7" s="78">
        <v>1.3888888888888888E-2</v>
      </c>
      <c r="K7" s="53">
        <f>Day!$E7</f>
        <v>0</v>
      </c>
      <c r="L7" s="55" t="str">
        <f t="shared" ca="1" si="0"/>
        <v>06/15/2023</v>
      </c>
      <c r="M7" s="53">
        <f t="shared" ref="M7:M24" si="3">G7</f>
        <v>0.375</v>
      </c>
      <c r="N7" s="55" t="str">
        <f t="shared" ca="1" si="0"/>
        <v>06/15/2023</v>
      </c>
      <c r="O7" s="50">
        <f t="shared" si="2"/>
        <v>0.375</v>
      </c>
      <c r="Q7" s="52" t="s">
        <v>15</v>
      </c>
      <c r="R7" s="59">
        <v>44337</v>
      </c>
      <c r="S7" s="60">
        <v>0.46527777777777801</v>
      </c>
      <c r="T7" s="59">
        <v>44337</v>
      </c>
      <c r="U7" s="60">
        <v>0.50000000000000022</v>
      </c>
    </row>
    <row r="8" spans="1:21" ht="16.899999999999999" customHeight="1" x14ac:dyDescent="0.25">
      <c r="A8" s="92" t="s">
        <v>22</v>
      </c>
      <c r="B8" s="94">
        <v>4.8611111111111112E-2</v>
      </c>
      <c r="C8" s="13"/>
      <c r="D8" s="167"/>
      <c r="E8" s="92"/>
      <c r="F8" s="94"/>
      <c r="G8" s="50">
        <v>0.38888888888888901</v>
      </c>
      <c r="H8" s="50">
        <f>Day!$G8+Day!$F8</f>
        <v>0.38888888888888901</v>
      </c>
      <c r="I8" s="150" t="s">
        <v>23</v>
      </c>
      <c r="J8" s="78">
        <v>2.7777777777777776E-2</v>
      </c>
      <c r="K8" s="53">
        <f>Day!$E8</f>
        <v>0</v>
      </c>
      <c r="L8" s="55" t="str">
        <f t="shared" ca="1" si="0"/>
        <v>06/15/2023</v>
      </c>
      <c r="M8" s="53">
        <f t="shared" si="3"/>
        <v>0.38888888888888901</v>
      </c>
      <c r="N8" s="55" t="str">
        <f t="shared" ca="1" si="0"/>
        <v>06/15/2023</v>
      </c>
      <c r="O8" s="50">
        <f t="shared" si="2"/>
        <v>0.38888888888888901</v>
      </c>
      <c r="Q8" s="52" t="s">
        <v>12</v>
      </c>
      <c r="R8" s="59">
        <v>44337</v>
      </c>
      <c r="S8" s="60">
        <v>0.5</v>
      </c>
      <c r="T8" s="59">
        <v>44337</v>
      </c>
      <c r="U8" s="60">
        <v>0.54166666666666663</v>
      </c>
    </row>
    <row r="9" spans="1:21" ht="16.899999999999999" customHeight="1" x14ac:dyDescent="0.25">
      <c r="A9" s="92" t="s">
        <v>24</v>
      </c>
      <c r="B9" s="94">
        <v>6.9444444444444441E-3</v>
      </c>
      <c r="C9" s="13"/>
      <c r="D9" s="167"/>
      <c r="E9" s="92"/>
      <c r="F9" s="94"/>
      <c r="G9" s="50">
        <v>0.41666666666666702</v>
      </c>
      <c r="H9" s="50">
        <f>Day!$G9+Day!$F9</f>
        <v>0.41666666666666702</v>
      </c>
      <c r="I9" s="150" t="s">
        <v>25</v>
      </c>
      <c r="J9" s="79">
        <v>5.5555555555555552E-2</v>
      </c>
      <c r="K9" s="53">
        <f>Day!$E9</f>
        <v>0</v>
      </c>
      <c r="L9" s="55" t="str">
        <f t="shared" ca="1" si="0"/>
        <v>06/15/2023</v>
      </c>
      <c r="M9" s="53">
        <f t="shared" si="3"/>
        <v>0.41666666666666702</v>
      </c>
      <c r="N9" s="55" t="str">
        <f t="shared" ca="1" si="0"/>
        <v>06/15/2023</v>
      </c>
      <c r="O9" s="50">
        <f t="shared" si="2"/>
        <v>0.41666666666666702</v>
      </c>
      <c r="Q9" s="52" t="s">
        <v>26</v>
      </c>
      <c r="R9" s="59">
        <v>44337</v>
      </c>
      <c r="S9" s="60">
        <v>0.54166666666666596</v>
      </c>
      <c r="T9" s="59">
        <v>44337</v>
      </c>
      <c r="U9" s="60">
        <v>0.60416666666666596</v>
      </c>
    </row>
    <row r="10" spans="1:21" ht="16.899999999999999" customHeight="1" x14ac:dyDescent="0.25">
      <c r="A10" s="8" t="s">
        <v>27</v>
      </c>
      <c r="C10" s="13"/>
      <c r="D10" s="167"/>
      <c r="E10" s="92"/>
      <c r="F10" s="94"/>
      <c r="G10" s="50">
        <v>0.45833333333333298</v>
      </c>
      <c r="H10" s="50">
        <f>Day!$G10+Day!$F10</f>
        <v>0.45833333333333298</v>
      </c>
      <c r="I10" s="151"/>
      <c r="J10" s="80"/>
      <c r="K10" s="53">
        <f>Day!$E10</f>
        <v>0</v>
      </c>
      <c r="L10" s="55" t="str">
        <f t="shared" ca="1" si="0"/>
        <v>06/15/2023</v>
      </c>
      <c r="M10" s="53">
        <f t="shared" si="3"/>
        <v>0.45833333333333298</v>
      </c>
      <c r="N10" s="55" t="str">
        <f t="shared" ca="1" si="0"/>
        <v>06/15/2023</v>
      </c>
      <c r="O10" s="50">
        <f t="shared" si="2"/>
        <v>0.45833333333333298</v>
      </c>
      <c r="Q10" s="52" t="s">
        <v>26</v>
      </c>
      <c r="R10" s="59">
        <v>44337</v>
      </c>
      <c r="S10" s="60">
        <v>0</v>
      </c>
      <c r="T10" s="59">
        <v>44337</v>
      </c>
      <c r="U10" s="60">
        <v>0</v>
      </c>
    </row>
    <row r="11" spans="1:21" ht="16.899999999999999" customHeight="1" x14ac:dyDescent="0.25">
      <c r="A11" s="92"/>
      <c r="B11" s="94"/>
      <c r="C11" s="13"/>
      <c r="D11" s="167"/>
      <c r="E11" s="92"/>
      <c r="F11" s="98"/>
      <c r="G11" s="50">
        <v>0.46527777777777801</v>
      </c>
      <c r="H11" s="50">
        <f>Day!$G11+Day!$F11</f>
        <v>0.46527777777777801</v>
      </c>
      <c r="I11" s="152"/>
      <c r="J11" s="80"/>
      <c r="K11" s="53">
        <f>Day!$E11</f>
        <v>0</v>
      </c>
      <c r="L11" s="55" t="str">
        <f t="shared" ca="1" si="0"/>
        <v>06/15/2023</v>
      </c>
      <c r="M11" s="53">
        <f t="shared" si="3"/>
        <v>0.46527777777777801</v>
      </c>
      <c r="N11" s="55" t="str">
        <f t="shared" ca="1" si="0"/>
        <v>06/15/2023</v>
      </c>
      <c r="O11" s="50">
        <f t="shared" si="2"/>
        <v>0.46527777777777801</v>
      </c>
      <c r="R11" s="59"/>
      <c r="S11" s="60"/>
      <c r="T11" s="59"/>
      <c r="U11" s="60"/>
    </row>
    <row r="12" spans="1:21" ht="16.899999999999999" customHeight="1" x14ac:dyDescent="0.35">
      <c r="C12" s="13"/>
      <c r="D12" s="167"/>
      <c r="E12" s="92"/>
      <c r="F12" s="94"/>
      <c r="G12" s="50">
        <v>0.5</v>
      </c>
      <c r="H12" s="50">
        <f>Day!$G12+Day!$F12</f>
        <v>0.5</v>
      </c>
      <c r="I12" s="152"/>
      <c r="J12" s="81"/>
      <c r="K12" s="53">
        <f>Day!$E12</f>
        <v>0</v>
      </c>
      <c r="L12" s="55" t="str">
        <f t="shared" ca="1" si="0"/>
        <v>06/15/2023</v>
      </c>
      <c r="M12" s="53">
        <f t="shared" si="3"/>
        <v>0.5</v>
      </c>
      <c r="N12" s="55" t="str">
        <f t="shared" ca="1" si="0"/>
        <v>06/15/2023</v>
      </c>
      <c r="O12" s="50">
        <f t="shared" si="2"/>
        <v>0.5</v>
      </c>
      <c r="R12" s="59"/>
      <c r="S12" s="60"/>
      <c r="T12" s="59"/>
      <c r="U12" s="60"/>
    </row>
    <row r="13" spans="1:21" ht="16.899999999999999" customHeight="1" x14ac:dyDescent="0.35">
      <c r="A13"/>
      <c r="B13" s="94"/>
      <c r="C13" s="13"/>
      <c r="D13" s="167"/>
      <c r="E13" s="92"/>
      <c r="F13" s="94"/>
      <c r="G13" s="50">
        <v>0.54166666666666596</v>
      </c>
      <c r="H13" s="50">
        <f>Day!$G13+Day!$F13</f>
        <v>0.54166666666666596</v>
      </c>
      <c r="I13" s="152"/>
      <c r="J13" s="80"/>
      <c r="K13" s="53">
        <f>Day!$E13</f>
        <v>0</v>
      </c>
      <c r="L13" s="55" t="str">
        <f t="shared" ca="1" si="0"/>
        <v>06/15/2023</v>
      </c>
      <c r="M13" s="53">
        <f t="shared" si="3"/>
        <v>0.54166666666666596</v>
      </c>
      <c r="N13" s="55" t="str">
        <f t="shared" ca="1" si="0"/>
        <v>06/15/2023</v>
      </c>
      <c r="O13" s="50">
        <f t="shared" si="2"/>
        <v>0.54166666666666596</v>
      </c>
      <c r="R13" s="59"/>
      <c r="S13" s="60"/>
      <c r="T13" s="59"/>
      <c r="U13" s="60"/>
    </row>
    <row r="14" spans="1:21" ht="16.899999999999999" customHeight="1" x14ac:dyDescent="0.35">
      <c r="A14"/>
      <c r="B14" s="94"/>
      <c r="C14" s="13"/>
      <c r="D14" s="162" t="s">
        <v>28</v>
      </c>
      <c r="F14" s="94"/>
      <c r="G14" s="50"/>
      <c r="H14" s="50">
        <f>Day!$G14+Day!$F14</f>
        <v>0</v>
      </c>
      <c r="I14" s="168" t="s">
        <v>29</v>
      </c>
      <c r="J14" s="160"/>
      <c r="K14" s="53">
        <f>Day!$E13</f>
        <v>0</v>
      </c>
      <c r="L14" s="55" t="str">
        <f t="shared" ca="1" si="0"/>
        <v>06/15/2023</v>
      </c>
      <c r="M14" s="53">
        <f t="shared" si="3"/>
        <v>0</v>
      </c>
      <c r="N14" s="55" t="str">
        <f t="shared" ca="1" si="0"/>
        <v>06/15/2023</v>
      </c>
      <c r="O14" s="50">
        <f t="shared" si="2"/>
        <v>0</v>
      </c>
      <c r="R14" s="59"/>
      <c r="S14" s="60"/>
      <c r="T14" s="59"/>
      <c r="U14" s="60"/>
    </row>
    <row r="15" spans="1:21" ht="18" customHeight="1" x14ac:dyDescent="0.35">
      <c r="A15"/>
      <c r="B15" s="94"/>
      <c r="C15" s="13"/>
      <c r="D15" s="162"/>
      <c r="E15" s="92"/>
      <c r="F15" s="94"/>
      <c r="G15" s="50"/>
      <c r="H15" s="50">
        <f>Day!$G15+Day!$F15</f>
        <v>0</v>
      </c>
      <c r="I15" s="75" t="s">
        <v>30</v>
      </c>
      <c r="J15" s="82"/>
      <c r="K15" s="53">
        <f>Day!$E15</f>
        <v>0</v>
      </c>
      <c r="L15" s="55" t="str">
        <f t="shared" ca="1" si="0"/>
        <v>06/15/2023</v>
      </c>
      <c r="M15" s="53">
        <f t="shared" si="3"/>
        <v>0</v>
      </c>
      <c r="N15" s="55" t="str">
        <f t="shared" ca="1" si="0"/>
        <v>06/15/2023</v>
      </c>
      <c r="O15" s="50">
        <f t="shared" si="2"/>
        <v>0</v>
      </c>
      <c r="R15" s="59"/>
      <c r="S15" s="60"/>
      <c r="T15" s="59"/>
      <c r="U15" s="60"/>
    </row>
    <row r="16" spans="1:21" ht="16.899999999999999" customHeight="1" x14ac:dyDescent="0.25">
      <c r="B16" s="94"/>
      <c r="C16" s="13"/>
      <c r="D16" s="162"/>
      <c r="E16" s="92"/>
      <c r="F16" s="94"/>
      <c r="G16" s="50"/>
      <c r="H16" s="50">
        <f>Day!$G16+Day!$F16</f>
        <v>0</v>
      </c>
      <c r="I16" s="153" t="s">
        <v>31</v>
      </c>
      <c r="J16" s="82"/>
      <c r="K16" s="53">
        <f>Day!$E16</f>
        <v>0</v>
      </c>
      <c r="L16" s="55" t="str">
        <f t="shared" ca="1" si="0"/>
        <v>06/15/2023</v>
      </c>
      <c r="M16" s="53">
        <f t="shared" si="3"/>
        <v>0</v>
      </c>
      <c r="N16" s="55" t="str">
        <f t="shared" ca="1" si="0"/>
        <v>06/15/2023</v>
      </c>
      <c r="O16" s="50">
        <f t="shared" si="2"/>
        <v>0</v>
      </c>
      <c r="R16" s="59"/>
      <c r="S16" s="60"/>
      <c r="T16" s="59"/>
      <c r="U16" s="60"/>
    </row>
    <row r="17" spans="1:21" ht="16.899999999999999" customHeight="1" x14ac:dyDescent="0.25">
      <c r="B17" s="94"/>
      <c r="C17" s="13"/>
      <c r="D17" s="162"/>
      <c r="E17" s="92"/>
      <c r="F17" s="94"/>
      <c r="G17" s="50"/>
      <c r="H17" s="50">
        <f>Day!$G17+Day!$F17</f>
        <v>0</v>
      </c>
      <c r="I17" s="154" t="s">
        <v>32</v>
      </c>
      <c r="J17" s="82"/>
      <c r="K17" s="53">
        <f>Day!$E17</f>
        <v>0</v>
      </c>
      <c r="L17" s="55" t="str">
        <f t="shared" ca="1" si="0"/>
        <v>06/15/2023</v>
      </c>
      <c r="M17" s="53">
        <f t="shared" si="3"/>
        <v>0</v>
      </c>
      <c r="N17" s="55" t="str">
        <f t="shared" ca="1" si="0"/>
        <v>06/15/2023</v>
      </c>
      <c r="O17" s="50">
        <f t="shared" si="2"/>
        <v>0</v>
      </c>
      <c r="R17" s="59"/>
      <c r="S17" s="60"/>
      <c r="T17" s="59"/>
      <c r="U17" s="60"/>
    </row>
    <row r="18" spans="1:21" ht="16.899999999999999" customHeight="1" x14ac:dyDescent="0.35">
      <c r="B18" s="94"/>
      <c r="C18" s="13"/>
      <c r="D18" s="162"/>
      <c r="E18" s="92"/>
      <c r="F18" s="94"/>
      <c r="G18" s="50"/>
      <c r="H18" s="50">
        <f>Day!$G18+Day!$F18</f>
        <v>0</v>
      </c>
      <c r="I18" s="154" t="s">
        <v>33</v>
      </c>
      <c r="J18" s="83"/>
      <c r="K18" s="53">
        <f>Day!$E18</f>
        <v>0</v>
      </c>
      <c r="L18" s="55" t="str">
        <f t="shared" ca="1" si="0"/>
        <v>06/15/2023</v>
      </c>
      <c r="M18" s="53">
        <f t="shared" si="3"/>
        <v>0</v>
      </c>
      <c r="N18" s="55" t="str">
        <f t="shared" ca="1" si="0"/>
        <v>06/15/2023</v>
      </c>
      <c r="O18" s="50">
        <f t="shared" si="2"/>
        <v>0</v>
      </c>
      <c r="R18" s="59"/>
      <c r="S18" s="60"/>
      <c r="T18" s="59"/>
      <c r="U18" s="60"/>
    </row>
    <row r="19" spans="1:21" ht="16.899999999999999" customHeight="1" x14ac:dyDescent="0.35">
      <c r="B19" s="94"/>
      <c r="D19" s="162"/>
      <c r="E19" s="92"/>
      <c r="F19" s="94"/>
      <c r="G19" s="50"/>
      <c r="H19" s="50">
        <f>Day!$G19+Day!$F19</f>
        <v>0</v>
      </c>
      <c r="I19" s="154" t="s">
        <v>34</v>
      </c>
      <c r="J19" s="83"/>
      <c r="K19" s="53">
        <f>Day!$E19</f>
        <v>0</v>
      </c>
      <c r="L19" s="55" t="str">
        <f t="shared" ca="1" si="0"/>
        <v>06/15/2023</v>
      </c>
      <c r="M19" s="53">
        <f t="shared" si="3"/>
        <v>0</v>
      </c>
      <c r="N19" s="55" t="str">
        <f t="shared" ca="1" si="0"/>
        <v>06/15/2023</v>
      </c>
      <c r="O19" s="50">
        <f t="shared" si="2"/>
        <v>0</v>
      </c>
      <c r="R19" s="59"/>
      <c r="S19" s="60"/>
      <c r="T19" s="59"/>
      <c r="U19" s="60"/>
    </row>
    <row r="20" spans="1:21" ht="16.899999999999999" customHeight="1" x14ac:dyDescent="0.35">
      <c r="D20" s="162"/>
      <c r="E20" s="92"/>
      <c r="F20" s="94"/>
      <c r="G20" s="50"/>
      <c r="H20" s="50">
        <f>Day!$G20+Day!$F20</f>
        <v>0</v>
      </c>
      <c r="I20" s="74"/>
      <c r="J20" s="81"/>
      <c r="K20" s="53">
        <f>Day!$E20</f>
        <v>0</v>
      </c>
      <c r="L20" s="55" t="str">
        <f t="shared" ca="1" si="0"/>
        <v>06/15/2023</v>
      </c>
      <c r="M20" s="53">
        <f t="shared" si="3"/>
        <v>0</v>
      </c>
      <c r="N20" s="55" t="str">
        <f t="shared" ca="1" si="0"/>
        <v>06/15/2023</v>
      </c>
      <c r="O20" s="50">
        <f t="shared" si="2"/>
        <v>0</v>
      </c>
      <c r="R20" s="59"/>
      <c r="S20" s="60"/>
      <c r="T20" s="59"/>
      <c r="U20" s="60"/>
    </row>
    <row r="21" spans="1:21" ht="16.899999999999999" customHeight="1" x14ac:dyDescent="0.25">
      <c r="D21" s="162"/>
      <c r="E21" s="92"/>
      <c r="F21" s="94"/>
      <c r="G21" s="50"/>
      <c r="H21" s="50">
        <f>Day!$G21+Day!$F21</f>
        <v>0</v>
      </c>
      <c r="I21" s="168" t="s">
        <v>35</v>
      </c>
      <c r="J21" s="160"/>
      <c r="K21" s="53">
        <f>Day!$E21</f>
        <v>0</v>
      </c>
      <c r="L21" s="55" t="str">
        <f t="shared" ca="1" si="0"/>
        <v>06/15/2023</v>
      </c>
      <c r="M21" s="53">
        <f t="shared" si="3"/>
        <v>0</v>
      </c>
      <c r="N21" s="55" t="str">
        <f t="shared" ca="1" si="0"/>
        <v>06/15/2023</v>
      </c>
      <c r="O21" s="50">
        <f t="shared" si="2"/>
        <v>0</v>
      </c>
      <c r="R21" s="59"/>
      <c r="S21" s="60"/>
      <c r="T21" s="59"/>
      <c r="U21" s="60"/>
    </row>
    <row r="22" spans="1:21" ht="16.899999999999999" customHeight="1" x14ac:dyDescent="0.25">
      <c r="D22" s="165" t="s">
        <v>36</v>
      </c>
      <c r="E22" s="92"/>
      <c r="F22" s="94"/>
      <c r="G22" s="50"/>
      <c r="H22" s="50">
        <f>Day!$G22+Day!$F22</f>
        <v>0</v>
      </c>
      <c r="I22" s="155" t="s">
        <v>37</v>
      </c>
      <c r="J22" s="84"/>
      <c r="K22" s="53">
        <f>Day!$E22</f>
        <v>0</v>
      </c>
      <c r="L22" s="55" t="str">
        <f t="shared" ca="1" si="0"/>
        <v>06/15/2023</v>
      </c>
      <c r="M22" s="53">
        <f t="shared" si="3"/>
        <v>0</v>
      </c>
      <c r="N22" s="55" t="str">
        <f t="shared" ca="1" si="0"/>
        <v>06/15/2023</v>
      </c>
      <c r="O22" s="50">
        <f t="shared" si="2"/>
        <v>0</v>
      </c>
      <c r="R22" s="59"/>
      <c r="S22" s="60"/>
      <c r="T22" s="59"/>
      <c r="U22" s="60"/>
    </row>
    <row r="23" spans="1:21" ht="16.899999999999999" customHeight="1" x14ac:dyDescent="0.25">
      <c r="D23" s="165"/>
      <c r="E23" s="92"/>
      <c r="F23" s="94"/>
      <c r="G23" s="50"/>
      <c r="H23" s="50">
        <f>Day!$G23+Day!$F23</f>
        <v>0</v>
      </c>
      <c r="I23" s="155" t="s">
        <v>38</v>
      </c>
      <c r="J23" s="84"/>
      <c r="K23" s="53">
        <f>Day!$E23</f>
        <v>0</v>
      </c>
      <c r="L23" s="55" t="str">
        <f t="shared" ca="1" si="0"/>
        <v>06/15/2023</v>
      </c>
      <c r="M23" s="53">
        <f t="shared" si="3"/>
        <v>0</v>
      </c>
      <c r="N23" s="55" t="str">
        <f t="shared" ca="1" si="0"/>
        <v>06/15/2023</v>
      </c>
      <c r="O23" s="50">
        <f t="shared" si="2"/>
        <v>0</v>
      </c>
      <c r="R23" s="59"/>
      <c r="S23" s="60"/>
      <c r="T23" s="59"/>
      <c r="U23" s="60"/>
    </row>
    <row r="24" spans="1:21" ht="16.899999999999999" customHeight="1" thickBot="1" x14ac:dyDescent="0.3">
      <c r="D24" s="165"/>
      <c r="E24" s="92"/>
      <c r="F24" s="94"/>
      <c r="G24" s="50"/>
      <c r="H24" s="50">
        <f>Day!$G24+Day!$F24</f>
        <v>0</v>
      </c>
      <c r="I24" s="152"/>
      <c r="J24" s="80"/>
      <c r="K24" s="53">
        <f>Day!$E24</f>
        <v>0</v>
      </c>
      <c r="L24" s="55" t="str">
        <f t="shared" ca="1" si="0"/>
        <v>06/15/2023</v>
      </c>
      <c r="M24" s="53">
        <f t="shared" si="3"/>
        <v>0</v>
      </c>
      <c r="N24" s="55" t="str">
        <f t="shared" ca="1" si="0"/>
        <v>06/15/2023</v>
      </c>
      <c r="O24" s="50">
        <f t="shared" si="2"/>
        <v>0</v>
      </c>
      <c r="R24" s="59"/>
      <c r="S24" s="60"/>
      <c r="T24" s="59"/>
      <c r="U24" s="60"/>
    </row>
    <row r="25" spans="1:21" ht="18.600000000000001" customHeight="1" thickTop="1" thickBot="1" x14ac:dyDescent="0.3">
      <c r="D25" s="67" t="str">
        <f>REPT("█",D29*95)</f>
        <v/>
      </c>
      <c r="E25" s="51"/>
      <c r="F25" s="51"/>
      <c r="G25" s="51"/>
      <c r="H25" s="51"/>
      <c r="I25" s="156"/>
      <c r="J25" s="80"/>
      <c r="K25" s="53"/>
      <c r="L25" s="55"/>
      <c r="M25" s="53"/>
      <c r="N25" s="55"/>
      <c r="O25" s="50"/>
      <c r="R25" s="59"/>
      <c r="S25" s="60"/>
      <c r="T25" s="59"/>
      <c r="U25" s="60"/>
    </row>
    <row r="26" spans="1:21" ht="19.5" thickTop="1" thickBot="1" x14ac:dyDescent="0.3">
      <c r="K26" s="56"/>
      <c r="L26" s="57"/>
      <c r="M26" s="56"/>
      <c r="N26" s="57"/>
      <c r="O26" s="58"/>
      <c r="R26" s="59"/>
      <c r="S26" s="60"/>
      <c r="T26" s="59"/>
      <c r="U26" s="60"/>
    </row>
    <row r="27" spans="1:21" ht="18.75" thickTop="1" x14ac:dyDescent="0.25">
      <c r="H27" s="13">
        <v>0.35416666666666802</v>
      </c>
      <c r="S27" s="60"/>
      <c r="T27" s="59"/>
      <c r="U27" s="60"/>
    </row>
    <row r="28" spans="1:21" ht="18.75" thickBot="1" x14ac:dyDescent="0.3">
      <c r="H28" s="13">
        <v>0.36111111111111199</v>
      </c>
      <c r="S28" s="60"/>
      <c r="T28" s="59"/>
      <c r="U28" s="60"/>
    </row>
    <row r="29" spans="1:21" ht="18.75" thickTop="1" x14ac:dyDescent="0.25">
      <c r="A29" s="13">
        <v>3.472222222222222E-3</v>
      </c>
      <c r="D29" s="72">
        <f>SUM(Day!$F$4:$F$24)</f>
        <v>0</v>
      </c>
      <c r="E29" s="73"/>
      <c r="F29" s="73"/>
      <c r="G29" s="73"/>
      <c r="H29" s="13">
        <v>0.36805555555555602</v>
      </c>
      <c r="S29" s="60"/>
      <c r="T29" s="59"/>
      <c r="U29" s="60"/>
    </row>
    <row r="30" spans="1:21" x14ac:dyDescent="0.25">
      <c r="A30" s="13">
        <v>6.9444444444444441E-3</v>
      </c>
      <c r="H30" s="13">
        <v>0.375</v>
      </c>
      <c r="S30" s="60"/>
      <c r="T30" s="59"/>
      <c r="U30" s="60"/>
    </row>
    <row r="31" spans="1:21" x14ac:dyDescent="0.25">
      <c r="A31" s="13">
        <v>1.0416666666666666E-2</v>
      </c>
      <c r="H31" s="13">
        <v>0.38194444444444442</v>
      </c>
      <c r="S31" s="60"/>
      <c r="T31" s="59"/>
      <c r="U31" s="60"/>
    </row>
    <row r="32" spans="1:21" x14ac:dyDescent="0.25">
      <c r="A32" s="13">
        <v>1.38888888888889E-2</v>
      </c>
      <c r="H32" s="13">
        <v>0.38888888888888901</v>
      </c>
      <c r="S32" s="60"/>
      <c r="T32" s="59"/>
      <c r="U32" s="60"/>
    </row>
    <row r="33" spans="1:21" x14ac:dyDescent="0.25">
      <c r="A33" s="13">
        <v>1.7361111111111101E-2</v>
      </c>
      <c r="H33" s="13">
        <v>0.39583333333333298</v>
      </c>
      <c r="S33" s="60"/>
      <c r="T33" s="59"/>
      <c r="U33" s="60"/>
    </row>
    <row r="34" spans="1:21" ht="15" customHeight="1" x14ac:dyDescent="0.25">
      <c r="A34" s="13">
        <v>2.0833333333333301E-2</v>
      </c>
      <c r="H34" s="13">
        <v>0.40277777777777801</v>
      </c>
      <c r="S34" s="60"/>
      <c r="T34" s="59"/>
      <c r="U34" s="60"/>
    </row>
    <row r="35" spans="1:21" x14ac:dyDescent="0.25">
      <c r="A35" s="13">
        <v>2.43055555555555E-2</v>
      </c>
      <c r="D35" s="14" t="e">
        <f>SUM(#REF!)/COUNT(#REF!)</f>
        <v>#REF!</v>
      </c>
      <c r="H35" s="13">
        <v>0.40972222222222199</v>
      </c>
      <c r="S35" s="60"/>
      <c r="T35" s="59"/>
      <c r="U35" s="60"/>
    </row>
    <row r="36" spans="1:21" x14ac:dyDescent="0.25">
      <c r="A36" s="13">
        <v>2.7777777777777801E-2</v>
      </c>
      <c r="D36" s="14"/>
      <c r="E36" s="14"/>
      <c r="G36" s="64"/>
      <c r="H36" s="13">
        <v>0.41666666666666702</v>
      </c>
      <c r="S36" s="60"/>
      <c r="T36" s="59"/>
      <c r="U36" s="60"/>
    </row>
    <row r="37" spans="1:21" ht="21" x14ac:dyDescent="0.35">
      <c r="A37" s="13">
        <v>3.125E-2</v>
      </c>
      <c r="B37" s="9">
        <f>IF(C37=TRUE, 1,0)</f>
        <v>0</v>
      </c>
      <c r="C37" s="10" t="b">
        <v>0</v>
      </c>
      <c r="D37" s="161" t="s">
        <v>39</v>
      </c>
      <c r="E37" s="161"/>
      <c r="H37" s="13">
        <v>0.42361111111111099</v>
      </c>
      <c r="I37"/>
      <c r="J37"/>
      <c r="S37" s="60"/>
      <c r="T37" s="59"/>
      <c r="U37" s="60"/>
    </row>
    <row r="38" spans="1:21" ht="21" x14ac:dyDescent="0.35">
      <c r="A38" s="13">
        <v>3.4722222222222203E-2</v>
      </c>
      <c r="B38" s="9">
        <f t="shared" ref="B38:B44" si="4">IF(C38=TRUE, 1,0)</f>
        <v>0</v>
      </c>
      <c r="C38" s="11" t="b">
        <v>0</v>
      </c>
      <c r="D38" s="161" t="s">
        <v>40</v>
      </c>
      <c r="E38" s="161"/>
      <c r="H38" s="13">
        <v>0.43055555555555503</v>
      </c>
      <c r="I38"/>
      <c r="J38"/>
      <c r="S38" s="60"/>
      <c r="T38" s="59"/>
      <c r="U38" s="60"/>
    </row>
    <row r="39" spans="1:21" ht="21" x14ac:dyDescent="0.35">
      <c r="A39" s="13">
        <v>3.8194444444444399E-2</v>
      </c>
      <c r="B39" s="9">
        <f t="shared" si="4"/>
        <v>0</v>
      </c>
      <c r="C39" s="11" t="b">
        <v>0</v>
      </c>
      <c r="D39" s="161" t="s">
        <v>41</v>
      </c>
      <c r="E39" s="161"/>
      <c r="H39" s="13">
        <v>0.4375</v>
      </c>
      <c r="I39"/>
      <c r="J39"/>
      <c r="S39" s="60"/>
      <c r="T39" s="59"/>
      <c r="U39" s="60"/>
    </row>
    <row r="40" spans="1:21" x14ac:dyDescent="0.25">
      <c r="A40" s="13">
        <v>4.1666666666666602E-2</v>
      </c>
      <c r="B40" s="9">
        <f>IF(C40=TRUE, 1,0)</f>
        <v>0</v>
      </c>
      <c r="C40" s="11" t="b">
        <v>0</v>
      </c>
      <c r="D40" s="161" t="s">
        <v>42</v>
      </c>
      <c r="E40" s="161"/>
      <c r="H40" s="13">
        <v>0.44444444444444398</v>
      </c>
      <c r="S40" s="60"/>
      <c r="T40" s="59"/>
      <c r="U40" s="60"/>
    </row>
    <row r="41" spans="1:21" x14ac:dyDescent="0.25">
      <c r="A41" s="13">
        <v>4.5138888888888902E-2</v>
      </c>
      <c r="B41" s="9">
        <f t="shared" si="4"/>
        <v>0</v>
      </c>
      <c r="C41" s="11" t="b">
        <v>0</v>
      </c>
      <c r="D41" s="161" t="s">
        <v>43</v>
      </c>
      <c r="E41" s="161"/>
      <c r="H41" s="13">
        <v>0.45138888888888901</v>
      </c>
      <c r="S41" s="60"/>
      <c r="T41" s="59"/>
      <c r="U41" s="60"/>
    </row>
    <row r="42" spans="1:21" x14ac:dyDescent="0.25">
      <c r="A42" s="13">
        <v>4.8611111111111098E-2</v>
      </c>
      <c r="B42" s="9">
        <f t="shared" si="4"/>
        <v>0</v>
      </c>
      <c r="C42" s="11" t="b">
        <v>0</v>
      </c>
      <c r="D42" s="161" t="s">
        <v>44</v>
      </c>
      <c r="E42" s="161"/>
      <c r="H42" s="13">
        <v>0.45833333333333298</v>
      </c>
      <c r="S42" s="60"/>
      <c r="T42" s="59"/>
      <c r="U42" s="60"/>
    </row>
    <row r="43" spans="1:21" ht="36" x14ac:dyDescent="0.25">
      <c r="A43" s="13">
        <v>5.2083333333333301E-2</v>
      </c>
      <c r="B43" s="9">
        <f t="shared" si="4"/>
        <v>0</v>
      </c>
      <c r="C43" s="11" t="b">
        <v>0</v>
      </c>
      <c r="D43" s="15" t="s">
        <v>45</v>
      </c>
      <c r="E43" s="15"/>
      <c r="H43" s="13">
        <v>0.46527777777777801</v>
      </c>
      <c r="S43" s="60"/>
      <c r="T43" s="59"/>
      <c r="U43" s="60"/>
    </row>
    <row r="44" spans="1:21" ht="72" x14ac:dyDescent="0.25">
      <c r="A44" s="13">
        <v>5.5555555555555497E-2</v>
      </c>
      <c r="B44" s="9">
        <f t="shared" si="4"/>
        <v>0</v>
      </c>
      <c r="C44" s="11" t="b">
        <v>0</v>
      </c>
      <c r="D44" s="15" t="s">
        <v>46</v>
      </c>
      <c r="E44" s="15"/>
      <c r="H44" s="13">
        <v>0.47222222222222199</v>
      </c>
      <c r="S44" s="60"/>
      <c r="T44" s="59"/>
      <c r="U44" s="60"/>
    </row>
    <row r="45" spans="1:21" x14ac:dyDescent="0.25">
      <c r="A45" s="13">
        <v>5.9027777777777797E-2</v>
      </c>
      <c r="H45" s="13">
        <v>0.47916666666666602</v>
      </c>
      <c r="S45" s="60"/>
      <c r="T45" s="59"/>
      <c r="U45" s="60"/>
    </row>
    <row r="46" spans="1:21" x14ac:dyDescent="0.25">
      <c r="A46" s="13">
        <v>6.25E-2</v>
      </c>
      <c r="H46" s="13">
        <v>0.48611111111111099</v>
      </c>
      <c r="S46" s="60"/>
      <c r="T46" s="59"/>
      <c r="U46" s="60"/>
    </row>
    <row r="47" spans="1:21" x14ac:dyDescent="0.25">
      <c r="A47" s="13">
        <v>6.5972222222222196E-2</v>
      </c>
      <c r="H47" s="13">
        <v>0.49305555555555503</v>
      </c>
      <c r="S47" s="60"/>
      <c r="T47" s="59"/>
      <c r="U47" s="60"/>
    </row>
    <row r="48" spans="1:21" x14ac:dyDescent="0.25">
      <c r="A48" s="13">
        <v>6.9444444444444406E-2</v>
      </c>
      <c r="H48" s="13">
        <v>0.5</v>
      </c>
      <c r="S48" s="60"/>
      <c r="T48" s="59"/>
      <c r="U48" s="60"/>
    </row>
    <row r="49" spans="1:21" x14ac:dyDescent="0.25">
      <c r="A49" s="13">
        <v>7.2916666666666602E-2</v>
      </c>
      <c r="H49" s="13">
        <v>0.50694444444444398</v>
      </c>
      <c r="S49" s="60"/>
      <c r="T49" s="59"/>
      <c r="U49" s="60"/>
    </row>
    <row r="50" spans="1:21" x14ac:dyDescent="0.25">
      <c r="A50" s="13">
        <v>7.6388888888888895E-2</v>
      </c>
      <c r="H50" s="13">
        <v>0.51388888888888795</v>
      </c>
      <c r="S50" s="60"/>
      <c r="T50" s="59"/>
      <c r="U50" s="60"/>
    </row>
    <row r="51" spans="1:21" x14ac:dyDescent="0.25">
      <c r="A51" s="13">
        <v>7.9861111111111105E-2</v>
      </c>
      <c r="H51" s="13">
        <v>0.52083333333333304</v>
      </c>
      <c r="S51" s="60"/>
      <c r="T51" s="59"/>
    </row>
    <row r="52" spans="1:21" x14ac:dyDescent="0.25">
      <c r="A52" s="13">
        <v>8.3333333333333301E-2</v>
      </c>
      <c r="H52" s="13">
        <v>0.52777777777777701</v>
      </c>
      <c r="S52" s="60"/>
      <c r="T52" s="59"/>
    </row>
    <row r="53" spans="1:21" x14ac:dyDescent="0.25">
      <c r="A53" s="13">
        <v>8.6805555555555497E-2</v>
      </c>
      <c r="H53" s="13">
        <v>0.53472222222222199</v>
      </c>
      <c r="S53" s="60"/>
      <c r="T53" s="59"/>
    </row>
    <row r="54" spans="1:21" x14ac:dyDescent="0.25">
      <c r="A54" s="13">
        <v>9.0277777777777804E-2</v>
      </c>
      <c r="H54" s="13">
        <v>0.54166666666666596</v>
      </c>
      <c r="S54" s="60"/>
      <c r="T54" s="59"/>
    </row>
    <row r="55" spans="1:21" x14ac:dyDescent="0.25">
      <c r="A55" s="13">
        <v>9.375E-2</v>
      </c>
      <c r="H55" s="13">
        <v>0.54861111111111005</v>
      </c>
      <c r="S55" s="60"/>
      <c r="T55" s="59"/>
    </row>
    <row r="56" spans="1:21" x14ac:dyDescent="0.25">
      <c r="A56" s="13">
        <v>9.7222222222222196E-2</v>
      </c>
      <c r="H56" s="13">
        <v>0.55555555555555503</v>
      </c>
      <c r="S56" s="60"/>
      <c r="T56" s="59"/>
    </row>
    <row r="57" spans="1:21" x14ac:dyDescent="0.25">
      <c r="A57" s="13">
        <v>0.100694444444444</v>
      </c>
      <c r="H57" s="13">
        <v>0.562499999999999</v>
      </c>
      <c r="S57" s="60"/>
      <c r="T57" s="59"/>
    </row>
    <row r="58" spans="1:21" x14ac:dyDescent="0.25">
      <c r="A58" s="13">
        <v>0.10416666666666601</v>
      </c>
      <c r="H58" s="13">
        <v>0.56944444444444398</v>
      </c>
      <c r="S58" s="60"/>
      <c r="T58" s="59"/>
    </row>
    <row r="59" spans="1:21" x14ac:dyDescent="0.25">
      <c r="A59" s="13">
        <v>0.10763888888888901</v>
      </c>
      <c r="H59" s="13">
        <v>0.57638888888888795</v>
      </c>
      <c r="S59" s="60"/>
      <c r="T59" s="59"/>
    </row>
    <row r="60" spans="1:21" x14ac:dyDescent="0.25">
      <c r="A60" s="13">
        <v>0.11111111111111099</v>
      </c>
      <c r="H60" s="13">
        <v>0.58333333333333304</v>
      </c>
      <c r="S60" s="60"/>
      <c r="T60" s="59"/>
    </row>
    <row r="61" spans="1:21" x14ac:dyDescent="0.25">
      <c r="A61" s="13">
        <v>0.114583333333333</v>
      </c>
      <c r="H61" s="13">
        <v>0.59027777777777701</v>
      </c>
      <c r="S61" s="60"/>
      <c r="T61" s="59"/>
    </row>
    <row r="62" spans="1:21" x14ac:dyDescent="0.25">
      <c r="A62" s="13">
        <v>0.118055555555555</v>
      </c>
      <c r="H62" s="13">
        <v>0.59722222222222099</v>
      </c>
      <c r="S62" s="60"/>
      <c r="T62" s="59"/>
    </row>
    <row r="63" spans="1:21" x14ac:dyDescent="0.25">
      <c r="A63" s="13">
        <v>0.121527777777778</v>
      </c>
      <c r="H63" s="13">
        <v>0.60416666666666596</v>
      </c>
      <c r="S63" s="60"/>
      <c r="T63" s="59"/>
    </row>
    <row r="64" spans="1:21" x14ac:dyDescent="0.25">
      <c r="A64" s="13">
        <v>0.125</v>
      </c>
      <c r="H64" s="13">
        <v>0.61111111111111005</v>
      </c>
      <c r="S64" s="60"/>
      <c r="T64" s="59"/>
    </row>
    <row r="65" spans="1:20" x14ac:dyDescent="0.25">
      <c r="A65" s="13">
        <v>0.12847222222222399</v>
      </c>
      <c r="H65" s="13">
        <v>0.61805555555555503</v>
      </c>
      <c r="S65" s="60"/>
      <c r="T65" s="59"/>
    </row>
    <row r="66" spans="1:20" x14ac:dyDescent="0.25">
      <c r="A66" s="13">
        <v>0.131944444444447</v>
      </c>
      <c r="H66" s="13">
        <v>0.624999999999999</v>
      </c>
      <c r="S66" s="60"/>
    </row>
    <row r="67" spans="1:20" x14ac:dyDescent="0.25">
      <c r="A67" s="13">
        <v>0.13541666666666999</v>
      </c>
      <c r="H67" s="13">
        <v>0.63194444444444398</v>
      </c>
      <c r="S67" s="60"/>
    </row>
    <row r="68" spans="1:20" x14ac:dyDescent="0.25">
      <c r="A68" s="13">
        <v>0.138888888888893</v>
      </c>
      <c r="H68" s="13">
        <v>0.63888888888888795</v>
      </c>
      <c r="S68" s="60"/>
    </row>
    <row r="69" spans="1:20" x14ac:dyDescent="0.25">
      <c r="A69" s="13">
        <v>0.14236111111111599</v>
      </c>
      <c r="H69" s="13">
        <v>0.64583333333333204</v>
      </c>
      <c r="S69" s="60"/>
    </row>
    <row r="70" spans="1:20" x14ac:dyDescent="0.25">
      <c r="A70" s="13">
        <v>0.145833333333339</v>
      </c>
      <c r="H70" s="13">
        <v>0.65277777777777701</v>
      </c>
      <c r="S70" s="60"/>
    </row>
    <row r="71" spans="1:20" x14ac:dyDescent="0.25">
      <c r="A71" s="13">
        <v>0.14930555555556199</v>
      </c>
      <c r="H71" s="13">
        <v>0.65972222222222099</v>
      </c>
      <c r="S71" s="60"/>
    </row>
    <row r="72" spans="1:20" x14ac:dyDescent="0.25">
      <c r="A72" s="13">
        <v>0.15277777777778501</v>
      </c>
      <c r="H72" s="13">
        <v>0.66666666666666596</v>
      </c>
      <c r="S72" s="60"/>
    </row>
    <row r="73" spans="1:20" x14ac:dyDescent="0.25">
      <c r="A73" s="13">
        <v>0.15625000000000799</v>
      </c>
      <c r="H73" s="13">
        <v>0.67361111111111005</v>
      </c>
      <c r="S73" s="60"/>
    </row>
    <row r="74" spans="1:20" x14ac:dyDescent="0.25">
      <c r="A74" s="13">
        <v>0.15972222222223101</v>
      </c>
      <c r="H74" s="13">
        <v>0.68055555555555403</v>
      </c>
      <c r="S74" s="60"/>
    </row>
    <row r="75" spans="1:20" x14ac:dyDescent="0.25">
      <c r="A75" s="13">
        <v>0.163194444444454</v>
      </c>
      <c r="H75" s="13">
        <v>0.687499999999999</v>
      </c>
      <c r="S75" s="60"/>
    </row>
    <row r="76" spans="1:20" x14ac:dyDescent="0.25">
      <c r="A76" s="13">
        <v>0.16666666666667701</v>
      </c>
      <c r="H76" s="13">
        <v>0.69444444444444298</v>
      </c>
      <c r="S76" s="60"/>
    </row>
    <row r="77" spans="1:20" x14ac:dyDescent="0.25">
      <c r="H77" s="13">
        <v>0.70138888888888795</v>
      </c>
      <c r="S77" s="60"/>
    </row>
    <row r="78" spans="1:20" x14ac:dyDescent="0.25">
      <c r="H78" s="13">
        <v>0.70833333333333204</v>
      </c>
      <c r="S78" s="60"/>
    </row>
    <row r="79" spans="1:20" x14ac:dyDescent="0.25">
      <c r="H79" s="13">
        <v>0.71527777777777701</v>
      </c>
      <c r="S79" s="60"/>
    </row>
    <row r="80" spans="1:20" x14ac:dyDescent="0.25">
      <c r="H80" s="13">
        <v>0.72222222222222099</v>
      </c>
      <c r="S80" s="60"/>
    </row>
    <row r="81" spans="8:19" x14ac:dyDescent="0.25">
      <c r="H81" s="13">
        <v>0.72916666666666496</v>
      </c>
      <c r="S81" s="60"/>
    </row>
    <row r="82" spans="8:19" x14ac:dyDescent="0.25">
      <c r="H82" s="13">
        <v>0.73611111111111005</v>
      </c>
    </row>
    <row r="83" spans="8:19" x14ac:dyDescent="0.25">
      <c r="H83" s="13">
        <v>0.74305555555555403</v>
      </c>
    </row>
    <row r="84" spans="8:19" x14ac:dyDescent="0.25">
      <c r="H84" s="13">
        <v>0.749999999999999</v>
      </c>
    </row>
    <row r="85" spans="8:19" x14ac:dyDescent="0.25">
      <c r="H85" s="13">
        <v>0.75694444444444298</v>
      </c>
    </row>
    <row r="86" spans="8:19" x14ac:dyDescent="0.25">
      <c r="H86" s="13">
        <v>0.76388888888888795</v>
      </c>
    </row>
    <row r="87" spans="8:19" x14ac:dyDescent="0.25">
      <c r="H87" s="13">
        <v>0.77083333333333204</v>
      </c>
    </row>
    <row r="88" spans="8:19" x14ac:dyDescent="0.25">
      <c r="H88" s="13">
        <v>0.77777777777777601</v>
      </c>
    </row>
    <row r="89" spans="8:19" x14ac:dyDescent="0.25">
      <c r="H89" s="13">
        <v>0.78472222222222099</v>
      </c>
    </row>
    <row r="90" spans="8:19" x14ac:dyDescent="0.25">
      <c r="H90" s="13">
        <v>0.79166666666666496</v>
      </c>
    </row>
    <row r="91" spans="8:19" x14ac:dyDescent="0.25">
      <c r="H91" s="13">
        <v>0.79861111111111005</v>
      </c>
    </row>
    <row r="92" spans="8:19" x14ac:dyDescent="0.25">
      <c r="H92" s="13">
        <v>0.80555555555555403</v>
      </c>
    </row>
    <row r="93" spans="8:19" x14ac:dyDescent="0.25">
      <c r="H93" s="13">
        <v>0.812499999999998</v>
      </c>
    </row>
    <row r="94" spans="8:19" x14ac:dyDescent="0.25">
      <c r="H94" s="13">
        <v>0.81944444444444298</v>
      </c>
    </row>
    <row r="95" spans="8:19" x14ac:dyDescent="0.25">
      <c r="H95" s="13">
        <v>0.82638888888888695</v>
      </c>
    </row>
    <row r="96" spans="8:19" x14ac:dyDescent="0.25">
      <c r="H96" s="13">
        <v>0.83333333333333204</v>
      </c>
    </row>
    <row r="97" spans="8:8" x14ac:dyDescent="0.25">
      <c r="H97" s="13">
        <v>0.84027777777777601</v>
      </c>
    </row>
    <row r="98" spans="8:8" x14ac:dyDescent="0.25">
      <c r="H98" s="13">
        <v>0.84722222222222099</v>
      </c>
    </row>
    <row r="99" spans="8:8" x14ac:dyDescent="0.25">
      <c r="H99" s="13">
        <v>0.85416666666666496</v>
      </c>
    </row>
    <row r="100" spans="8:8" x14ac:dyDescent="0.25">
      <c r="H100" s="13"/>
    </row>
  </sheetData>
  <mergeCells count="14">
    <mergeCell ref="I2:J2"/>
    <mergeCell ref="D42:E42"/>
    <mergeCell ref="D40:E40"/>
    <mergeCell ref="D41:E41"/>
    <mergeCell ref="D14:D21"/>
    <mergeCell ref="D2:H2"/>
    <mergeCell ref="D37:E37"/>
    <mergeCell ref="D38:E38"/>
    <mergeCell ref="D39:E39"/>
    <mergeCell ref="D22:D24"/>
    <mergeCell ref="D4:D6"/>
    <mergeCell ref="D7:D13"/>
    <mergeCell ref="I21:J21"/>
    <mergeCell ref="I14:J14"/>
  </mergeCells>
  <phoneticPr fontId="12" type="noConversion"/>
  <conditionalFormatting sqref="D35">
    <cfRule type="cellIs" dxfId="33" priority="5" operator="greaterThan">
      <formula>0.9</formula>
    </cfRule>
    <cfRule type="cellIs" dxfId="32" priority="6" operator="lessThan">
      <formula>0.6</formula>
    </cfRule>
  </conditionalFormatting>
  <dataValidations count="13">
    <dataValidation type="list" allowBlank="1" showInputMessage="1" showErrorMessage="1" sqref="G7" xr:uid="{7D82AC4A-A985-46B2-B669-5298EAC1F39B}">
      <formula1>$H$30:$H$40</formula1>
    </dataValidation>
    <dataValidation type="list" allowBlank="1" showInputMessage="1" showErrorMessage="1" sqref="G10:G11" xr:uid="{40AB22D8-45CF-4CF3-9424-53C38364A460}">
      <formula1>$H$40:$H$57</formula1>
    </dataValidation>
    <dataValidation type="list" allowBlank="1" showInputMessage="1" showErrorMessage="1" sqref="G12" xr:uid="{4C6D3BAC-B0D8-408F-A658-440252CE5742}">
      <formula1>$H$44:$H$54</formula1>
    </dataValidation>
    <dataValidation type="list" allowBlank="1" showInputMessage="1" showErrorMessage="1" sqref="G15" xr:uid="{57386A99-97B3-4D41-A3C2-C8645D0126E7}">
      <formula1>$H$63:$H$69</formula1>
    </dataValidation>
    <dataValidation type="list" allowBlank="1" showInputMessage="1" showErrorMessage="1" sqref="G16" xr:uid="{32E7BA8D-0985-4DB1-8E5D-D7C9C0F79885}">
      <formula1>$H$68:$H$75</formula1>
    </dataValidation>
    <dataValidation type="list" allowBlank="1" showInputMessage="1" showErrorMessage="1" sqref="G17" xr:uid="{98454113-3448-4732-B839-5E795CBAFFC6}">
      <formula1>$H$72:$H$80</formula1>
    </dataValidation>
    <dataValidation type="list" allowBlank="1" showInputMessage="1" showErrorMessage="1" sqref="G18" xr:uid="{ECDF4B69-51D5-4FD8-B23E-EA887679D5D7}">
      <formula1>$H$76:$H$84</formula1>
    </dataValidation>
    <dataValidation type="list" allowBlank="1" showInputMessage="1" showErrorMessage="1" sqref="G19:G20" xr:uid="{383101E2-86DA-4EEF-A675-A3BBA844C9A6}">
      <formula1>$H$80:$H$88</formula1>
    </dataValidation>
    <dataValidation type="list" allowBlank="1" showInputMessage="1" showErrorMessage="1" sqref="G21" xr:uid="{1148B58E-2BD1-46F3-90AA-7D87F7DFC3A4}">
      <formula1>$H$88:$H$96</formula1>
    </dataValidation>
    <dataValidation type="list" allowBlank="1" showInputMessage="1" showErrorMessage="1" sqref="G8" xr:uid="{D30D626C-F15F-49FA-88E2-7D02FD530DFD}">
      <formula1>$H$30:$H$36</formula1>
    </dataValidation>
    <dataValidation type="list" allowBlank="1" showInputMessage="1" showErrorMessage="1" sqref="G14" xr:uid="{319FAAFC-52E8-4623-B332-F6FC57ED1018}">
      <formula1>$H$56:$H$67</formula1>
    </dataValidation>
    <dataValidation type="list" allowBlank="1" showInputMessage="1" showErrorMessage="1" sqref="G13" xr:uid="{742123D4-05D1-4526-ADB4-1184B8AEA37A}">
      <formula1>$H$50:$H$62</formula1>
    </dataValidation>
    <dataValidation type="list" allowBlank="1" showInputMessage="1" showErrorMessage="1" sqref="G9" xr:uid="{D8607163-7513-43BB-BA18-C34BF66397D7}">
      <formula1>$H$36:$H$57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66675</xdr:rowOff>
                  </from>
                  <to>
                    <xdr:col>2</xdr:col>
                    <xdr:colOff>323850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19050</xdr:colOff>
                    <xdr:row>37</xdr:row>
                    <xdr:rowOff>66675</xdr:rowOff>
                  </from>
                  <to>
                    <xdr:col>2</xdr:col>
                    <xdr:colOff>247650</xdr:colOff>
                    <xdr:row>37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66675</xdr:rowOff>
                  </from>
                  <to>
                    <xdr:col>2</xdr:col>
                    <xdr:colOff>323850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19050</xdr:colOff>
                    <xdr:row>38</xdr:row>
                    <xdr:rowOff>66675</xdr:rowOff>
                  </from>
                  <to>
                    <xdr:col>2</xdr:col>
                    <xdr:colOff>247650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2</xdr:col>
                    <xdr:colOff>19050</xdr:colOff>
                    <xdr:row>39</xdr:row>
                    <xdr:rowOff>66675</xdr:rowOff>
                  </from>
                  <to>
                    <xdr:col>2</xdr:col>
                    <xdr:colOff>247650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2</xdr:col>
                    <xdr:colOff>19050</xdr:colOff>
                    <xdr:row>40</xdr:row>
                    <xdr:rowOff>66675</xdr:rowOff>
                  </from>
                  <to>
                    <xdr:col>2</xdr:col>
                    <xdr:colOff>247650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2</xdr:col>
                    <xdr:colOff>19050</xdr:colOff>
                    <xdr:row>41</xdr:row>
                    <xdr:rowOff>66675</xdr:rowOff>
                  </from>
                  <to>
                    <xdr:col>2</xdr:col>
                    <xdr:colOff>247650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2</xdr:col>
                    <xdr:colOff>19050</xdr:colOff>
                    <xdr:row>42</xdr:row>
                    <xdr:rowOff>66675</xdr:rowOff>
                  </from>
                  <to>
                    <xdr:col>2</xdr:col>
                    <xdr:colOff>247650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096629-E80C-4F9B-8A20-D1AECBF551EA}">
          <x14:formula1>
            <xm:f>'https://d.docs.live.net/15d8ee67c3761baa/PLAN/!!Daly planing/[!PROJECT ll.xlsm]funtion'!#REF!</xm:f>
          </x14:formula1>
          <xm:sqref>G22:G24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3AF0-11E0-41AA-98E4-A7C886AB3693}">
  <sheetPr codeName="Sheet15">
    <tabColor rgb="FF6576AB"/>
  </sheetPr>
  <dimension ref="A1:AX44"/>
  <sheetViews>
    <sheetView zoomScale="70" zoomScaleNormal="70" workbookViewId="0">
      <pane xSplit="3" topLeftCell="D1" activePane="topRight" state="frozen"/>
      <selection activeCell="B1" sqref="B1"/>
      <selection pane="topRight" activeCell="U15" sqref="U15"/>
    </sheetView>
  </sheetViews>
  <sheetFormatPr defaultColWidth="9.26953125" defaultRowHeight="15" customHeight="1" outlineLevelCol="1" x14ac:dyDescent="0.25"/>
  <cols>
    <col min="1" max="1" width="8.984375E-2" style="8" customWidth="1"/>
    <col min="2" max="2" width="2.6328125" style="8" hidden="1" customWidth="1" outlineLevel="1"/>
    <col min="3" max="3" width="18.26953125" style="8" hidden="1" customWidth="1" outlineLevel="1"/>
    <col min="4" max="4" width="0.36328125" style="8" hidden="1" customWidth="1" outlineLevel="1"/>
    <col min="5" max="5" width="22.1796875" style="8" customWidth="1" collapsed="1"/>
    <col min="6" max="6" width="4.1796875" style="8" customWidth="1"/>
    <col min="7" max="8" width="0.36328125" style="8" customWidth="1"/>
    <col min="9" max="9" width="22.6328125" style="8" customWidth="1"/>
    <col min="10" max="10" width="4.1796875" style="8" customWidth="1"/>
    <col min="11" max="12" width="0.36328125" style="8" customWidth="1"/>
    <col min="13" max="13" width="22.6328125" style="8" customWidth="1"/>
    <col min="14" max="14" width="4.1796875" style="8" customWidth="1"/>
    <col min="15" max="16" width="0.36328125" style="8" customWidth="1"/>
    <col min="17" max="17" width="22.6328125" style="8" customWidth="1"/>
    <col min="18" max="18" width="4.1796875" style="8" customWidth="1"/>
    <col min="19" max="20" width="0.36328125" style="8" customWidth="1"/>
    <col min="21" max="21" width="22.6328125" style="8" customWidth="1"/>
    <col min="22" max="22" width="4.1796875" style="8" customWidth="1"/>
    <col min="23" max="24" width="0.36328125" style="8" customWidth="1"/>
    <col min="25" max="25" width="21.6328125" style="8" customWidth="1"/>
    <col min="26" max="26" width="4.1796875" style="8" customWidth="1"/>
    <col min="27" max="28" width="0.36328125" style="8" customWidth="1"/>
    <col min="29" max="29" width="21.6328125" style="8" customWidth="1"/>
    <col min="30" max="30" width="4.1796875" style="8" customWidth="1"/>
    <col min="31" max="31" width="0.36328125" style="8" customWidth="1"/>
    <col min="32" max="16384" width="9.26953125" style="8"/>
  </cols>
  <sheetData>
    <row r="1" spans="1:50" ht="22.9" customHeight="1" x14ac:dyDescent="0.25">
      <c r="M1" s="45">
        <f ca="1">WEEKNUM(TODAY())</f>
        <v>24</v>
      </c>
    </row>
    <row r="2" spans="1:50" ht="21" customHeight="1" x14ac:dyDescent="0.35">
      <c r="A2" s="9"/>
      <c r="B2" s="9"/>
      <c r="C2" s="9"/>
      <c r="D2" s="9"/>
      <c r="G2"/>
      <c r="H2"/>
      <c r="I2" s="8" t="s">
        <v>47</v>
      </c>
      <c r="J2" s="8">
        <v>3.4313725490196081E-2</v>
      </c>
      <c r="K2"/>
      <c r="L2"/>
      <c r="O2"/>
      <c r="P2"/>
      <c r="S2"/>
      <c r="T2"/>
      <c r="W2"/>
      <c r="X2"/>
      <c r="AA2"/>
      <c r="AB2"/>
    </row>
    <row r="3" spans="1:50" ht="4.9000000000000004" customHeight="1" x14ac:dyDescent="0.35">
      <c r="A3" s="9"/>
      <c r="B3" s="9"/>
      <c r="C3" s="9"/>
      <c r="D3" s="9"/>
      <c r="E3"/>
      <c r="F3"/>
      <c r="G3" s="61"/>
      <c r="H3" s="61"/>
      <c r="I3"/>
      <c r="J3"/>
      <c r="K3"/>
      <c r="L3"/>
      <c r="M3"/>
      <c r="N3" s="94"/>
      <c r="O3"/>
      <c r="P3"/>
      <c r="Q3"/>
      <c r="R3" s="94"/>
      <c r="S3"/>
      <c r="T3"/>
      <c r="U3"/>
      <c r="V3" s="94"/>
      <c r="W3"/>
      <c r="X3"/>
      <c r="Y3"/>
      <c r="Z3" s="94"/>
      <c r="AA3"/>
      <c r="AB3"/>
      <c r="AD3" s="94"/>
    </row>
    <row r="4" spans="1:50" ht="16.149999999999999" customHeight="1" x14ac:dyDescent="0.35">
      <c r="A4" s="9"/>
      <c r="B4" s="9"/>
      <c r="C4" s="9"/>
      <c r="D4" s="9"/>
      <c r="G4" s="61"/>
      <c r="I4" s="8" t="s">
        <v>48</v>
      </c>
      <c r="J4" s="94">
        <v>6.25E-2</v>
      </c>
      <c r="K4"/>
      <c r="L4"/>
      <c r="O4"/>
      <c r="P4"/>
      <c r="R4" s="94"/>
      <c r="S4"/>
      <c r="T4"/>
      <c r="W4"/>
      <c r="X4"/>
      <c r="AA4"/>
      <c r="AB4"/>
    </row>
    <row r="5" spans="1:50" ht="4.1500000000000004" customHeight="1" x14ac:dyDescent="0.35">
      <c r="A5" s="9"/>
      <c r="B5" s="9"/>
      <c r="C5" s="9"/>
      <c r="D5" s="9"/>
      <c r="E5" s="3"/>
      <c r="F5" s="94"/>
      <c r="G5" s="61"/>
      <c r="I5"/>
      <c r="J5" s="94"/>
      <c r="K5"/>
      <c r="L5"/>
      <c r="M5"/>
      <c r="N5" s="94"/>
      <c r="O5"/>
      <c r="P5"/>
      <c r="Q5"/>
      <c r="R5" s="94"/>
      <c r="S5"/>
      <c r="T5"/>
      <c r="U5"/>
      <c r="V5" s="94"/>
      <c r="W5"/>
      <c r="X5"/>
      <c r="Y5"/>
      <c r="Z5" s="94"/>
      <c r="AA5"/>
      <c r="AB5"/>
      <c r="AD5" s="94"/>
    </row>
    <row r="6" spans="1:50" ht="20.65" customHeight="1" x14ac:dyDescent="0.35">
      <c r="A6" s="9"/>
      <c r="B6" s="9"/>
      <c r="C6" s="9"/>
      <c r="D6" s="9"/>
      <c r="G6" s="61"/>
      <c r="K6"/>
      <c r="L6"/>
      <c r="M6"/>
      <c r="N6" s="94"/>
      <c r="O6"/>
      <c r="P6"/>
      <c r="Q6"/>
      <c r="R6" s="94"/>
      <c r="S6"/>
      <c r="T6"/>
      <c r="U6"/>
      <c r="V6" s="94"/>
      <c r="W6"/>
      <c r="X6"/>
      <c r="Y6"/>
      <c r="Z6" s="94"/>
      <c r="AA6"/>
      <c r="AB6"/>
      <c r="AD6" s="94"/>
    </row>
    <row r="7" spans="1:50" ht="3.6" customHeight="1" x14ac:dyDescent="0.3">
      <c r="A7" s="20"/>
      <c r="B7" s="20"/>
      <c r="D7" s="20"/>
      <c r="E7" s="29"/>
      <c r="F7" s="29"/>
      <c r="G7" s="29"/>
      <c r="J7" s="29"/>
      <c r="K7" s="29"/>
      <c r="L7" s="29"/>
    </row>
    <row r="8" spans="1:50" s="24" customFormat="1" ht="17.649999999999999" customHeight="1" x14ac:dyDescent="0.35">
      <c r="D8" s="169">
        <v>44319</v>
      </c>
      <c r="E8" s="169"/>
      <c r="F8" s="169"/>
      <c r="G8" s="169"/>
      <c r="H8" s="169">
        <f>D8+1</f>
        <v>44320</v>
      </c>
      <c r="I8" s="169"/>
      <c r="J8" s="169"/>
      <c r="K8" s="169"/>
      <c r="L8" s="169">
        <f t="shared" ref="L8" si="0">H8+1</f>
        <v>44321</v>
      </c>
      <c r="M8" s="169"/>
      <c r="N8" s="169"/>
      <c r="O8" s="169"/>
      <c r="P8" s="169">
        <f t="shared" ref="P8" si="1">L8+1</f>
        <v>44322</v>
      </c>
      <c r="Q8" s="169"/>
      <c r="R8" s="169"/>
      <c r="S8" s="169"/>
      <c r="T8" s="169">
        <f t="shared" ref="T8" si="2">P8+1</f>
        <v>44323</v>
      </c>
      <c r="U8" s="169"/>
      <c r="V8" s="169"/>
      <c r="W8" s="169"/>
      <c r="X8" s="169">
        <f t="shared" ref="X8" si="3">T8+1</f>
        <v>44324</v>
      </c>
      <c r="Y8" s="169"/>
      <c r="Z8" s="169"/>
      <c r="AA8" s="169"/>
      <c r="AB8" s="169">
        <f t="shared" ref="AB8" si="4">X8+1</f>
        <v>44325</v>
      </c>
      <c r="AC8" s="169"/>
      <c r="AD8" s="169"/>
      <c r="AE8" s="27"/>
      <c r="AS8" s="25"/>
      <c r="AT8" s="25"/>
      <c r="AU8" s="25"/>
      <c r="AV8" s="25"/>
      <c r="AW8" s="25"/>
      <c r="AX8" s="25"/>
    </row>
    <row r="9" spans="1:50" s="24" customFormat="1" ht="15" customHeight="1" x14ac:dyDescent="0.35">
      <c r="B9" s="173" t="e">
        <f>SUM(A11:A20)/COUNT(A11:A20)</f>
        <v>#DIV/0!</v>
      </c>
      <c r="C9" s="173"/>
      <c r="D9" s="172" t="s">
        <v>49</v>
      </c>
      <c r="E9" s="172"/>
      <c r="F9" s="172"/>
      <c r="G9" s="172"/>
      <c r="H9" s="172" t="s">
        <v>50</v>
      </c>
      <c r="I9" s="172"/>
      <c r="J9" s="172"/>
      <c r="K9" s="172"/>
      <c r="L9" s="172" t="s">
        <v>51</v>
      </c>
      <c r="M9" s="172"/>
      <c r="N9" s="172"/>
      <c r="O9" s="172"/>
      <c r="P9" s="172" t="s">
        <v>52</v>
      </c>
      <c r="Q9" s="172"/>
      <c r="R9" s="172"/>
      <c r="S9" s="172"/>
      <c r="T9" s="172" t="s">
        <v>53</v>
      </c>
      <c r="U9" s="172"/>
      <c r="V9" s="172"/>
      <c r="W9" s="172"/>
      <c r="X9" s="172" t="s">
        <v>54</v>
      </c>
      <c r="Y9" s="172"/>
      <c r="Z9" s="172"/>
      <c r="AA9" s="172"/>
      <c r="AB9" s="172" t="s">
        <v>55</v>
      </c>
      <c r="AC9" s="172"/>
      <c r="AD9" s="172"/>
      <c r="AE9" s="172"/>
    </row>
    <row r="10" spans="1:50" s="9" customFormat="1" ht="17.649999999999999" customHeight="1" thickBot="1" x14ac:dyDescent="0.4">
      <c r="B10" s="173"/>
      <c r="C10" s="173"/>
      <c r="D10" s="22"/>
      <c r="E10" s="170">
        <f>SUM(F11:F20)</f>
        <v>0</v>
      </c>
      <c r="F10" s="170"/>
      <c r="G10" s="23"/>
      <c r="H10" s="22"/>
      <c r="I10" s="170">
        <f>SUM(J11:J20)</f>
        <v>2.7777777777777776E-2</v>
      </c>
      <c r="J10" s="170"/>
      <c r="K10" s="23"/>
      <c r="L10" s="22"/>
      <c r="M10" s="170">
        <f>SUM(N11:N20)</f>
        <v>0</v>
      </c>
      <c r="N10" s="170"/>
      <c r="O10" s="23"/>
      <c r="P10" s="22"/>
      <c r="Q10" s="170">
        <f>SUM(R12:R20)</f>
        <v>0.15555555555555556</v>
      </c>
      <c r="R10" s="170"/>
      <c r="S10" s="23"/>
      <c r="T10" s="22"/>
      <c r="U10" s="171">
        <f>SUM(V11:V20)</f>
        <v>0.125</v>
      </c>
      <c r="V10" s="171"/>
      <c r="W10" s="23"/>
      <c r="X10" s="22"/>
      <c r="Y10" s="170">
        <f>SUM(Z11:Z20)</f>
        <v>0</v>
      </c>
      <c r="Z10" s="170"/>
      <c r="AA10" s="23"/>
      <c r="AB10" s="22"/>
      <c r="AC10" s="170">
        <f>SUM(AD11:AD20)</f>
        <v>0</v>
      </c>
      <c r="AD10" s="170"/>
      <c r="AE10" s="28"/>
    </row>
    <row r="11" spans="1:50" s="30" customFormat="1" ht="25.9" customHeight="1" thickTop="1" x14ac:dyDescent="0.35">
      <c r="B11" s="31"/>
      <c r="D11" s="32"/>
      <c r="E11"/>
      <c r="F11" s="94"/>
      <c r="G11" s="33"/>
      <c r="H11" s="32"/>
      <c r="I11"/>
      <c r="J11" s="93"/>
      <c r="K11" s="33"/>
      <c r="L11" s="32"/>
      <c r="M11" s="69"/>
      <c r="N11" s="70"/>
      <c r="O11" s="33"/>
      <c r="P11" s="32"/>
      <c r="Q11" s="8" t="s">
        <v>56</v>
      </c>
      <c r="R11" s="94">
        <v>6.25E-2</v>
      </c>
      <c r="S11" s="33"/>
      <c r="T11" s="32"/>
      <c r="U11" s="47"/>
      <c r="V11" s="70"/>
      <c r="W11" s="33"/>
      <c r="X11" s="32"/>
      <c r="Y11" s="47"/>
      <c r="Z11" s="70"/>
      <c r="AA11" s="33"/>
      <c r="AB11" s="32"/>
      <c r="AC11" s="8"/>
      <c r="AD11" s="46"/>
      <c r="AE11" s="34"/>
    </row>
    <row r="12" spans="1:50" s="35" customFormat="1" ht="25.9" customHeight="1" x14ac:dyDescent="0.25">
      <c r="B12" s="36"/>
      <c r="D12" s="37"/>
      <c r="E12" s="71"/>
      <c r="F12" s="94"/>
      <c r="G12" s="38"/>
      <c r="H12" s="37"/>
      <c r="I12" s="8" t="s">
        <v>57</v>
      </c>
      <c r="J12" s="94">
        <v>2.7777777777777776E-2</v>
      </c>
      <c r="K12" s="38"/>
      <c r="L12" s="37"/>
      <c r="M12" s="47"/>
      <c r="N12" s="46"/>
      <c r="O12" s="38"/>
      <c r="P12" s="37"/>
      <c r="Q12" s="8" t="s">
        <v>57</v>
      </c>
      <c r="R12" s="94">
        <v>2.7777777777777776E-2</v>
      </c>
      <c r="S12" s="38"/>
      <c r="T12" s="37"/>
      <c r="U12" s="8" t="s">
        <v>58</v>
      </c>
      <c r="V12" s="94">
        <v>0.125</v>
      </c>
      <c r="W12" s="38"/>
      <c r="X12" s="37"/>
      <c r="Y12" s="96"/>
      <c r="Z12" s="97"/>
      <c r="AA12" s="38"/>
      <c r="AB12" s="37"/>
      <c r="AC12" s="96"/>
      <c r="AD12" s="97"/>
      <c r="AE12" s="39"/>
    </row>
    <row r="13" spans="1:50" s="35" customFormat="1" ht="25.9" customHeight="1" x14ac:dyDescent="0.25">
      <c r="B13" s="36"/>
      <c r="D13" s="37"/>
      <c r="E13" s="71"/>
      <c r="F13" s="70"/>
      <c r="G13" s="38"/>
      <c r="H13" s="37"/>
      <c r="I13" s="17"/>
      <c r="J13" s="70"/>
      <c r="K13" s="38"/>
      <c r="L13" s="37"/>
      <c r="M13" s="47"/>
      <c r="N13" s="46"/>
      <c r="O13" s="38"/>
      <c r="P13" s="37"/>
      <c r="Q13" s="8" t="s">
        <v>16</v>
      </c>
      <c r="R13" s="94">
        <v>4.1666666666666664E-2</v>
      </c>
      <c r="S13" s="38"/>
      <c r="T13" s="37"/>
      <c r="U13" s="8" t="s">
        <v>59</v>
      </c>
      <c r="V13" s="94"/>
      <c r="W13" s="38"/>
      <c r="X13" s="37"/>
      <c r="Y13" s="8"/>
      <c r="Z13" s="94"/>
      <c r="AA13" s="38"/>
      <c r="AB13" s="37"/>
      <c r="AC13" s="96"/>
      <c r="AD13" s="97"/>
      <c r="AE13" s="39"/>
    </row>
    <row r="14" spans="1:50" s="35" customFormat="1" ht="25.9" customHeight="1" x14ac:dyDescent="0.35">
      <c r="B14" s="36"/>
      <c r="D14" s="37"/>
      <c r="E14"/>
      <c r="F14" s="93"/>
      <c r="G14" s="38"/>
      <c r="H14" s="37"/>
      <c r="I14" s="71"/>
      <c r="J14" s="70"/>
      <c r="K14" s="38"/>
      <c r="L14" s="37"/>
      <c r="M14" s="47"/>
      <c r="N14" s="46"/>
      <c r="O14" s="38"/>
      <c r="P14" s="37"/>
      <c r="Q14" s="8" t="s">
        <v>60</v>
      </c>
      <c r="R14" s="94">
        <v>2.0833333333333332E-2</v>
      </c>
      <c r="S14" s="38"/>
      <c r="T14" s="37"/>
      <c r="U14" s="8" t="s">
        <v>61</v>
      </c>
      <c r="V14" s="94"/>
      <c r="W14" s="38"/>
      <c r="X14" s="37"/>
      <c r="Y14" s="47"/>
      <c r="Z14" s="62"/>
      <c r="AA14" s="38"/>
      <c r="AB14" s="37"/>
      <c r="AC14" s="17"/>
      <c r="AD14" s="99"/>
      <c r="AE14" s="39"/>
    </row>
    <row r="15" spans="1:50" s="35" customFormat="1" ht="25.9" customHeight="1" x14ac:dyDescent="0.35">
      <c r="B15" s="36"/>
      <c r="D15" s="37"/>
      <c r="E15"/>
      <c r="F15" s="93"/>
      <c r="G15" s="38"/>
      <c r="H15" s="37"/>
      <c r="I15" s="17"/>
      <c r="J15" s="18"/>
      <c r="K15" s="38"/>
      <c r="L15" s="37"/>
      <c r="M15" s="47"/>
      <c r="N15" s="46"/>
      <c r="O15" s="38"/>
      <c r="P15" s="37"/>
      <c r="Q15" s="8" t="s">
        <v>19</v>
      </c>
      <c r="R15" s="94">
        <v>9.7222222222222224E-3</v>
      </c>
      <c r="S15" s="38"/>
      <c r="T15" s="37"/>
      <c r="U15"/>
      <c r="V15" s="94"/>
      <c r="W15" s="38"/>
      <c r="X15" s="37"/>
      <c r="Y15" s="71"/>
      <c r="Z15" s="94"/>
      <c r="AA15" s="38"/>
      <c r="AB15" s="37"/>
      <c r="AC15"/>
      <c r="AD15" s="94"/>
      <c r="AE15" s="39"/>
    </row>
    <row r="16" spans="1:50" s="35" customFormat="1" ht="25.9" customHeight="1" x14ac:dyDescent="0.35">
      <c r="B16" s="36"/>
      <c r="D16" s="37"/>
      <c r="E16" s="8"/>
      <c r="F16" s="93"/>
      <c r="G16" s="38"/>
      <c r="H16" s="37"/>
      <c r="I16" s="47"/>
      <c r="J16" s="46"/>
      <c r="K16" s="38"/>
      <c r="L16" s="37"/>
      <c r="M16" s="47"/>
      <c r="N16" s="46"/>
      <c r="O16" s="38"/>
      <c r="P16" s="37"/>
      <c r="Q16" s="8" t="s">
        <v>22</v>
      </c>
      <c r="R16" s="94">
        <v>5.5555555555555552E-2</v>
      </c>
      <c r="S16" s="38"/>
      <c r="T16" s="37"/>
      <c r="U16"/>
      <c r="V16" s="94"/>
      <c r="W16" s="38"/>
      <c r="X16" s="37"/>
      <c r="Y16" s="47"/>
      <c r="Z16" s="46"/>
      <c r="AA16" s="38"/>
      <c r="AB16" s="37"/>
      <c r="AC16"/>
      <c r="AD16" s="94"/>
      <c r="AE16" s="39"/>
    </row>
    <row r="17" spans="2:31" s="35" customFormat="1" ht="25.9" customHeight="1" x14ac:dyDescent="0.25">
      <c r="B17" s="36"/>
      <c r="D17" s="37"/>
      <c r="E17" s="8"/>
      <c r="F17" s="93"/>
      <c r="G17" s="38"/>
      <c r="H17" s="37"/>
      <c r="I17" s="47"/>
      <c r="J17" s="46"/>
      <c r="K17" s="38"/>
      <c r="L17" s="37"/>
      <c r="M17" s="47"/>
      <c r="N17" s="46"/>
      <c r="O17" s="38"/>
      <c r="P17" s="37"/>
      <c r="Q17" s="96"/>
      <c r="R17" s="97"/>
      <c r="S17" s="38"/>
      <c r="T17" s="37"/>
      <c r="U17" s="47"/>
      <c r="V17" s="46"/>
      <c r="W17" s="38"/>
      <c r="X17" s="37"/>
      <c r="Y17" s="47"/>
      <c r="Z17" s="46"/>
      <c r="AA17" s="38"/>
      <c r="AB17" s="37"/>
      <c r="AC17" s="47"/>
      <c r="AD17" s="46"/>
      <c r="AE17" s="39"/>
    </row>
    <row r="18" spans="2:31" s="35" customFormat="1" ht="25.9" customHeight="1" x14ac:dyDescent="0.25">
      <c r="B18" s="36"/>
      <c r="D18" s="37"/>
      <c r="E18" s="8"/>
      <c r="F18" s="93"/>
      <c r="G18" s="38"/>
      <c r="H18" s="37"/>
      <c r="I18" s="47"/>
      <c r="J18" s="46"/>
      <c r="K18" s="38"/>
      <c r="L18" s="37"/>
      <c r="M18" s="47"/>
      <c r="N18" s="46"/>
      <c r="O18" s="38"/>
      <c r="P18" s="37"/>
      <c r="Q18" s="96"/>
      <c r="R18" s="97"/>
      <c r="S18" s="38"/>
      <c r="T18" s="37"/>
      <c r="U18" s="47"/>
      <c r="V18" s="46"/>
      <c r="W18" s="38"/>
      <c r="X18" s="37"/>
      <c r="Y18" s="47"/>
      <c r="Z18" s="46"/>
      <c r="AA18" s="38"/>
      <c r="AB18" s="37"/>
      <c r="AC18" s="47"/>
      <c r="AD18" s="46"/>
      <c r="AE18" s="39"/>
    </row>
    <row r="19" spans="2:31" s="35" customFormat="1" ht="25.9" customHeight="1" x14ac:dyDescent="0.35">
      <c r="B19" s="36"/>
      <c r="D19" s="37"/>
      <c r="E19"/>
      <c r="F19" s="93"/>
      <c r="G19" s="38"/>
      <c r="H19" s="37"/>
      <c r="I19" s="47"/>
      <c r="J19" s="46"/>
      <c r="K19" s="38"/>
      <c r="L19" s="37"/>
      <c r="M19" s="47"/>
      <c r="N19" s="46"/>
      <c r="O19" s="38"/>
      <c r="P19" s="37"/>
      <c r="Q19" s="96"/>
      <c r="R19" s="97"/>
      <c r="S19" s="38"/>
      <c r="T19" s="37"/>
      <c r="U19" s="47"/>
      <c r="V19" s="46"/>
      <c r="W19" s="38"/>
      <c r="X19" s="37"/>
      <c r="Y19" s="47"/>
      <c r="Z19" s="46"/>
      <c r="AA19" s="38"/>
      <c r="AB19" s="37"/>
      <c r="AC19" s="47"/>
      <c r="AD19" s="46"/>
      <c r="AE19" s="39"/>
    </row>
    <row r="20" spans="2:31" s="40" customFormat="1" ht="25.9" customHeight="1" x14ac:dyDescent="0.25">
      <c r="B20" s="41"/>
      <c r="D20" s="42"/>
      <c r="E20" s="8"/>
      <c r="F20" s="93"/>
      <c r="G20" s="43"/>
      <c r="H20" s="42"/>
      <c r="I20" s="47"/>
      <c r="J20" s="46"/>
      <c r="K20" s="43"/>
      <c r="L20" s="42"/>
      <c r="M20" s="47"/>
      <c r="N20" s="46"/>
      <c r="O20" s="43"/>
      <c r="P20" s="42"/>
      <c r="Q20" s="96"/>
      <c r="R20" s="97"/>
      <c r="S20" s="43"/>
      <c r="T20" s="42"/>
      <c r="U20" s="47"/>
      <c r="V20" s="46"/>
      <c r="W20" s="43"/>
      <c r="X20" s="42"/>
      <c r="Y20" s="47"/>
      <c r="Z20" s="46"/>
      <c r="AA20" s="43"/>
      <c r="AB20" s="42"/>
      <c r="AC20" s="47"/>
      <c r="AD20" s="46"/>
      <c r="AE20" s="44"/>
    </row>
    <row r="21" spans="2:31" ht="15" customHeight="1" x14ac:dyDescent="0.25">
      <c r="AC21" s="47"/>
      <c r="AD21" s="46"/>
      <c r="AE21" s="26"/>
    </row>
    <row r="32" spans="2:31" ht="15" customHeight="1" x14ac:dyDescent="0.3">
      <c r="E32" s="29"/>
      <c r="F32" s="29"/>
    </row>
    <row r="33" spans="5:6" ht="15" customHeight="1" x14ac:dyDescent="0.3">
      <c r="E33" s="29" t="s">
        <v>62</v>
      </c>
      <c r="F33" s="46">
        <f>E10</f>
        <v>0</v>
      </c>
    </row>
    <row r="34" spans="5:6" ht="15" customHeight="1" x14ac:dyDescent="0.3">
      <c r="E34" s="29" t="s">
        <v>50</v>
      </c>
      <c r="F34" s="46">
        <f>I10</f>
        <v>2.7777777777777776E-2</v>
      </c>
    </row>
    <row r="35" spans="5:6" ht="15" customHeight="1" x14ac:dyDescent="0.3">
      <c r="E35" s="29" t="s">
        <v>51</v>
      </c>
      <c r="F35" s="46">
        <f>M10</f>
        <v>0</v>
      </c>
    </row>
    <row r="36" spans="5:6" ht="15" customHeight="1" x14ac:dyDescent="0.3">
      <c r="E36" s="29" t="s">
        <v>52</v>
      </c>
      <c r="F36" s="46">
        <f>Q10</f>
        <v>0.15555555555555556</v>
      </c>
    </row>
    <row r="37" spans="5:6" ht="15" customHeight="1" x14ac:dyDescent="0.3">
      <c r="E37" s="29" t="s">
        <v>53</v>
      </c>
      <c r="F37" s="46">
        <f>U10</f>
        <v>0.125</v>
      </c>
    </row>
    <row r="38" spans="5:6" ht="15" customHeight="1" x14ac:dyDescent="0.3">
      <c r="E38" s="29" t="s">
        <v>54</v>
      </c>
      <c r="F38" s="46">
        <f>Y10</f>
        <v>0</v>
      </c>
    </row>
    <row r="39" spans="5:6" ht="15" customHeight="1" x14ac:dyDescent="0.3">
      <c r="E39" s="29" t="s">
        <v>55</v>
      </c>
      <c r="F39" s="46">
        <f>AC10</f>
        <v>0</v>
      </c>
    </row>
    <row r="40" spans="5:6" ht="15" customHeight="1" x14ac:dyDescent="0.3">
      <c r="E40" s="29"/>
      <c r="F40" s="29"/>
    </row>
    <row r="41" spans="5:6" ht="15" customHeight="1" x14ac:dyDescent="0.3">
      <c r="E41" s="29"/>
      <c r="F41" s="29"/>
    </row>
    <row r="42" spans="5:6" ht="15" customHeight="1" x14ac:dyDescent="0.3">
      <c r="E42" s="29"/>
      <c r="F42" s="29"/>
    </row>
    <row r="43" spans="5:6" ht="15" customHeight="1" x14ac:dyDescent="0.3">
      <c r="E43" s="29"/>
      <c r="F43" s="29"/>
    </row>
    <row r="44" spans="5:6" ht="15" customHeight="1" x14ac:dyDescent="0.3">
      <c r="E44" s="29"/>
      <c r="F44" s="29"/>
    </row>
  </sheetData>
  <mergeCells count="22">
    <mergeCell ref="B9:C10"/>
    <mergeCell ref="D9:G9"/>
    <mergeCell ref="H9:K9"/>
    <mergeCell ref="L9:O9"/>
    <mergeCell ref="P9:S9"/>
    <mergeCell ref="E10:F10"/>
    <mergeCell ref="I10:J10"/>
    <mergeCell ref="AB8:AD8"/>
    <mergeCell ref="M10:N10"/>
    <mergeCell ref="Q10:R10"/>
    <mergeCell ref="D8:G8"/>
    <mergeCell ref="H8:K8"/>
    <mergeCell ref="L8:O8"/>
    <mergeCell ref="P8:S8"/>
    <mergeCell ref="U10:V10"/>
    <mergeCell ref="Y10:Z10"/>
    <mergeCell ref="X8:AA8"/>
    <mergeCell ref="T9:W9"/>
    <mergeCell ref="X9:AA9"/>
    <mergeCell ref="AB9:AE9"/>
    <mergeCell ref="T8:W8"/>
    <mergeCell ref="AC10:AD10"/>
  </mergeCells>
  <phoneticPr fontId="12" type="noConversion"/>
  <conditionalFormatting sqref="M10:N10 U10:V10">
    <cfRule type="cellIs" dxfId="31" priority="21" operator="greaterThan">
      <formula>9</formula>
    </cfRule>
    <cfRule type="cellIs" dxfId="30" priority="22" operator="lessThan">
      <formula>5</formula>
    </cfRule>
  </conditionalFormatting>
  <conditionalFormatting sqref="B9:C10">
    <cfRule type="cellIs" dxfId="29" priority="19" operator="greaterThan">
      <formula>0.9</formula>
    </cfRule>
    <cfRule type="cellIs" dxfId="28" priority="20" operator="lessThan">
      <formula>0.6</formula>
    </cfRule>
  </conditionalFormatting>
  <conditionalFormatting sqref="AC10:AD10">
    <cfRule type="cellIs" dxfId="27" priority="15" operator="greaterThan">
      <formula>9</formula>
    </cfRule>
    <cfRule type="cellIs" dxfId="26" priority="16" operator="lessThan">
      <formula>5</formula>
    </cfRule>
  </conditionalFormatting>
  <conditionalFormatting sqref="Y10:Z10">
    <cfRule type="cellIs" dxfId="25" priority="13" operator="greaterThan">
      <formula>9</formula>
    </cfRule>
    <cfRule type="cellIs" dxfId="24" priority="14" operator="lessThan">
      <formula>5</formula>
    </cfRule>
  </conditionalFormatting>
  <conditionalFormatting sqref="Q10:R10">
    <cfRule type="cellIs" dxfId="23" priority="11" operator="greaterThan">
      <formula>9</formula>
    </cfRule>
    <cfRule type="cellIs" dxfId="22" priority="12" operator="lessThan">
      <formula>5</formula>
    </cfRule>
  </conditionalFormatting>
  <conditionalFormatting sqref="I10:J10">
    <cfRule type="cellIs" dxfId="21" priority="5" operator="greaterThan">
      <formula>9</formula>
    </cfRule>
    <cfRule type="cellIs" dxfId="20" priority="6" operator="lessThan">
      <formula>5</formula>
    </cfRule>
  </conditionalFormatting>
  <conditionalFormatting sqref="E10:F10">
    <cfRule type="cellIs" dxfId="19" priority="3" operator="greaterThan">
      <formula>9</formula>
    </cfRule>
    <cfRule type="cellIs" dxfId="18" priority="4" operator="lessThan">
      <formula>5</formula>
    </cfRule>
  </conditionalFormatting>
  <conditionalFormatting sqref="J15">
    <cfRule type="cellIs" dxfId="17" priority="1" operator="equal">
      <formula>"??"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50E7-19AF-44A8-AC8D-EE135DD85DB8}">
  <sheetPr codeName="Sheet1"/>
  <dimension ref="A1:G22"/>
  <sheetViews>
    <sheetView tabSelected="1" zoomScale="90" zoomScaleNormal="90" workbookViewId="0">
      <selection activeCell="E11" sqref="E11"/>
    </sheetView>
  </sheetViews>
  <sheetFormatPr defaultColWidth="0" defaultRowHeight="21" x14ac:dyDescent="0.35"/>
  <cols>
    <col min="1" max="1" width="35.1796875" style="114" customWidth="1"/>
    <col min="2" max="2" width="7.26953125" style="108" customWidth="1"/>
    <col min="3" max="3" width="8.08984375" style="130" customWidth="1"/>
    <col min="4" max="4" width="9.1796875" hidden="1" customWidth="1"/>
    <col min="5" max="5" width="34.1796875" customWidth="1"/>
    <col min="6" max="6" width="17.81640625" customWidth="1"/>
    <col min="7" max="7" width="8" customWidth="1"/>
    <col min="8" max="16384" width="9.1796875" hidden="1"/>
  </cols>
  <sheetData>
    <row r="1" spans="1:7" ht="21.75" thickBot="1" x14ac:dyDescent="0.4">
      <c r="A1" s="122">
        <f ca="1">TODAY()</f>
        <v>45091</v>
      </c>
      <c r="B1" s="181">
        <f ca="1">WEEKNUM(TODAY())</f>
        <v>24</v>
      </c>
      <c r="C1" s="182"/>
      <c r="D1" s="179"/>
      <c r="E1" s="180"/>
    </row>
    <row r="2" spans="1:7" s="89" customFormat="1" ht="21.75" thickBot="1" x14ac:dyDescent="0.4">
      <c r="A2" s="177" t="s">
        <v>63</v>
      </c>
      <c r="B2" s="178"/>
      <c r="C2" s="123">
        <f>SUM(C4:C22)*24</f>
        <v>4</v>
      </c>
      <c r="D2" s="174" t="s">
        <v>64</v>
      </c>
      <c r="E2" s="175"/>
      <c r="F2" s="175"/>
      <c r="G2" s="176"/>
    </row>
    <row r="3" spans="1:7" s="89" customFormat="1" x14ac:dyDescent="0.35">
      <c r="A3" s="120" t="s">
        <v>65</v>
      </c>
      <c r="B3" s="85" t="s">
        <v>66</v>
      </c>
      <c r="C3" s="131" t="s">
        <v>67</v>
      </c>
      <c r="E3" s="89" t="s">
        <v>65</v>
      </c>
      <c r="F3" s="89" t="s">
        <v>68</v>
      </c>
      <c r="G3" s="121" t="s">
        <v>67</v>
      </c>
    </row>
    <row r="4" spans="1:7" x14ac:dyDescent="0.35">
      <c r="A4" s="114" t="s">
        <v>77</v>
      </c>
      <c r="B4" s="132">
        <v>0</v>
      </c>
      <c r="C4" s="133">
        <v>0.16666666666666666</v>
      </c>
      <c r="F4" s="125"/>
      <c r="G4" s="116"/>
    </row>
    <row r="5" spans="1:7" x14ac:dyDescent="0.35">
      <c r="B5" s="132"/>
      <c r="C5" s="133"/>
      <c r="F5" s="115"/>
      <c r="G5" s="116"/>
    </row>
    <row r="6" spans="1:7" ht="20.65" customHeight="1" x14ac:dyDescent="0.35">
      <c r="B6" s="132"/>
      <c r="C6" s="133"/>
      <c r="F6" s="115"/>
      <c r="G6" s="116"/>
    </row>
    <row r="7" spans="1:7" x14ac:dyDescent="0.35">
      <c r="B7" s="132"/>
      <c r="C7" s="133"/>
      <c r="F7" s="115"/>
      <c r="G7" s="116"/>
    </row>
    <row r="8" spans="1:7" x14ac:dyDescent="0.35">
      <c r="B8" s="132"/>
      <c r="C8" s="133"/>
      <c r="F8" s="115"/>
      <c r="G8" s="116"/>
    </row>
    <row r="9" spans="1:7" x14ac:dyDescent="0.35">
      <c r="A9" s="124"/>
      <c r="B9" s="132"/>
      <c r="C9" s="133"/>
      <c r="F9" s="115"/>
      <c r="G9" s="116"/>
    </row>
    <row r="10" spans="1:7" x14ac:dyDescent="0.35">
      <c r="B10" s="132"/>
      <c r="C10" s="133"/>
      <c r="F10" s="115"/>
      <c r="G10" s="116"/>
    </row>
    <row r="11" spans="1:7" x14ac:dyDescent="0.35">
      <c r="B11" s="132"/>
      <c r="C11" s="133"/>
      <c r="F11" s="115"/>
      <c r="G11" s="116"/>
    </row>
    <row r="12" spans="1:7" x14ac:dyDescent="0.35">
      <c r="B12" s="132"/>
      <c r="C12" s="133"/>
      <c r="F12" s="115"/>
      <c r="G12" s="116"/>
    </row>
    <row r="13" spans="1:7" x14ac:dyDescent="0.35">
      <c r="B13" s="132"/>
      <c r="C13" s="133"/>
      <c r="F13" s="115"/>
      <c r="G13" s="116"/>
    </row>
    <row r="14" spans="1:7" x14ac:dyDescent="0.35">
      <c r="B14" s="132"/>
      <c r="C14" s="133"/>
      <c r="G14" s="116"/>
    </row>
    <row r="15" spans="1:7" x14ac:dyDescent="0.35">
      <c r="B15" s="132"/>
      <c r="C15" s="133"/>
      <c r="G15" s="116"/>
    </row>
    <row r="16" spans="1:7" x14ac:dyDescent="0.35">
      <c r="B16" s="132"/>
      <c r="C16" s="133"/>
      <c r="G16" s="116"/>
    </row>
    <row r="17" spans="2:7" x14ac:dyDescent="0.35">
      <c r="B17" s="132"/>
      <c r="C17" s="133"/>
      <c r="G17" s="117"/>
    </row>
    <row r="18" spans="2:7" x14ac:dyDescent="0.35">
      <c r="B18" s="132"/>
      <c r="C18" s="133"/>
      <c r="G18" s="117"/>
    </row>
    <row r="19" spans="2:7" x14ac:dyDescent="0.35">
      <c r="B19" s="132"/>
      <c r="C19" s="133"/>
      <c r="G19" s="117"/>
    </row>
    <row r="20" spans="2:7" x14ac:dyDescent="0.35">
      <c r="B20" s="132"/>
      <c r="C20" s="133"/>
      <c r="G20" s="117"/>
    </row>
    <row r="21" spans="2:7" x14ac:dyDescent="0.35">
      <c r="C21" s="133"/>
      <c r="G21" s="117"/>
    </row>
    <row r="22" spans="2:7" x14ac:dyDescent="0.35">
      <c r="C22" s="133"/>
      <c r="D22" s="118"/>
      <c r="E22" s="118"/>
      <c r="F22" s="118"/>
      <c r="G22" s="119"/>
    </row>
  </sheetData>
  <mergeCells count="4">
    <mergeCell ref="D2:G2"/>
    <mergeCell ref="A2:B2"/>
    <mergeCell ref="D1:E1"/>
    <mergeCell ref="B1:C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7E3FD-1049-4886-99A7-3E5BE89D78B1}">
  <sheetPr codeName="Sheet4">
    <tabColor theme="2"/>
  </sheetPr>
  <dimension ref="A1:P200"/>
  <sheetViews>
    <sheetView zoomScale="85" zoomScaleNormal="85" zoomScaleSheetLayoutView="30" workbookViewId="0">
      <pane xSplit="7" ySplit="8" topLeftCell="H9" activePane="bottomRight" state="frozen"/>
      <selection pane="topRight" activeCell="Q4" sqref="Q4"/>
      <selection pane="bottomLeft" activeCell="A9" sqref="A9"/>
      <selection pane="bottomRight" activeCell="L19" sqref="L19"/>
    </sheetView>
  </sheetViews>
  <sheetFormatPr defaultColWidth="9.26953125" defaultRowHeight="21" x14ac:dyDescent="0.35"/>
  <cols>
    <col min="1" max="1" width="45.1796875" style="1" customWidth="1"/>
    <col min="2" max="2" width="16" style="85" customWidth="1"/>
    <col min="3" max="3" width="10" style="109" customWidth="1"/>
    <col min="4" max="4" width="2.90625" style="1" hidden="1" customWidth="1"/>
    <col min="5" max="5" width="7.81640625" style="1" customWidth="1"/>
    <col min="6" max="7" width="9.1796875" style="2" customWidth="1"/>
    <col min="8" max="8" width="1" style="2" customWidth="1"/>
    <col min="9" max="9" width="11.1796875" style="108" bestFit="1" customWidth="1"/>
    <col min="10" max="10" width="11.6328125" style="108" customWidth="1"/>
    <col min="11" max="13" width="11.1796875" style="108" bestFit="1" customWidth="1"/>
  </cols>
  <sheetData>
    <row r="1" spans="1:16" s="3" customFormat="1" ht="18" customHeight="1" x14ac:dyDescent="0.35">
      <c r="A1" s="1">
        <v>5</v>
      </c>
      <c r="B1" s="85"/>
      <c r="C1" s="109"/>
      <c r="D1" s="1"/>
      <c r="E1" s="1"/>
      <c r="F1" s="2">
        <v>11</v>
      </c>
      <c r="G1" s="21">
        <v>12</v>
      </c>
      <c r="H1" s="21"/>
      <c r="I1" s="1"/>
      <c r="J1" s="1"/>
      <c r="K1" s="1"/>
      <c r="L1" s="1"/>
      <c r="M1" s="1"/>
    </row>
    <row r="2" spans="1:16" s="3" customFormat="1" ht="52.9" customHeight="1" x14ac:dyDescent="0.3">
      <c r="A2" s="210" t="s">
        <v>87</v>
      </c>
      <c r="B2" s="86" t="s">
        <v>69</v>
      </c>
      <c r="C2" s="109"/>
      <c r="D2" s="1"/>
      <c r="E2" s="1"/>
      <c r="F2" s="2"/>
      <c r="G2" s="21"/>
      <c r="H2" s="21"/>
      <c r="I2" s="1"/>
      <c r="J2" s="1"/>
      <c r="K2" s="1"/>
      <c r="L2" s="1"/>
      <c r="M2" s="1"/>
    </row>
    <row r="3" spans="1:16" s="6" customFormat="1" ht="26.1" customHeight="1" thickBot="1" x14ac:dyDescent="0.4">
      <c r="A3" s="188">
        <f ca="1">TODAY()</f>
        <v>45091</v>
      </c>
      <c r="C3" s="110"/>
      <c r="F3" s="136"/>
      <c r="G3" s="136"/>
      <c r="H3" s="102"/>
    </row>
    <row r="4" spans="1:16" s="7" customFormat="1" ht="29.45" customHeight="1" x14ac:dyDescent="0.45">
      <c r="A4" s="189">
        <f ca="1">WEEKNUM(TODAY())</f>
        <v>24</v>
      </c>
      <c r="B4" s="87"/>
      <c r="C4" s="111"/>
      <c r="D4" s="105"/>
      <c r="E4" s="136"/>
      <c r="F4" s="136"/>
      <c r="G4" s="136"/>
      <c r="H4" s="103"/>
      <c r="I4" s="201">
        <f ca="1">WEEKNUM(A3)</f>
        <v>24</v>
      </c>
      <c r="J4" s="201">
        <f ca="1">I4+1</f>
        <v>25</v>
      </c>
      <c r="K4" s="201">
        <f t="shared" ref="K4:M4" ca="1" si="0">J4+1</f>
        <v>26</v>
      </c>
      <c r="L4" s="201">
        <f t="shared" ca="1" si="0"/>
        <v>27</v>
      </c>
      <c r="M4" s="201">
        <f t="shared" ca="1" si="0"/>
        <v>28</v>
      </c>
    </row>
    <row r="5" spans="1:16" ht="25.9" customHeight="1" thickBot="1" x14ac:dyDescent="0.55000000000000004">
      <c r="A5" s="189"/>
      <c r="B5" s="88"/>
      <c r="C5" s="112"/>
      <c r="D5" s="4"/>
      <c r="E5"/>
      <c r="F5"/>
      <c r="G5" s="21"/>
      <c r="H5" s="21"/>
      <c r="I5" s="100" t="str">
        <f>REPT("█",SUM(I10:I65)*9)</f>
        <v>█</v>
      </c>
      <c r="J5" s="100" t="str">
        <f>REPT("█",SUM(J10:J65)*9)</f>
        <v>██</v>
      </c>
      <c r="K5" s="100" t="str">
        <f>REPT("█",SUM(K10:K65)*9)</f>
        <v/>
      </c>
      <c r="L5" s="100" t="str">
        <f>REPT("█",SUM(L10:L65)*9)</f>
        <v/>
      </c>
      <c r="M5" s="100" t="str">
        <f>REPT("█",SUM(M10:M65)*9)</f>
        <v/>
      </c>
    </row>
    <row r="6" spans="1:16" s="3" customFormat="1" ht="23.25" hidden="1" x14ac:dyDescent="0.35">
      <c r="A6" s="1"/>
      <c r="B6" s="85"/>
      <c r="C6" s="109"/>
      <c r="D6" s="1"/>
      <c r="E6" s="1"/>
      <c r="F6" s="2"/>
      <c r="G6" s="21"/>
      <c r="H6" s="21"/>
      <c r="I6" s="134" t="s">
        <v>70</v>
      </c>
      <c r="J6" s="134" t="s">
        <v>70</v>
      </c>
      <c r="K6" s="134" t="s">
        <v>70</v>
      </c>
      <c r="L6" s="134" t="s">
        <v>70</v>
      </c>
      <c r="M6" s="134" t="s">
        <v>70</v>
      </c>
    </row>
    <row r="7" spans="1:16" s="5" customFormat="1" ht="22.9" customHeight="1" x14ac:dyDescent="0.35">
      <c r="A7" s="190" t="s">
        <v>71</v>
      </c>
      <c r="B7" s="190" t="s">
        <v>72</v>
      </c>
      <c r="C7" s="191" t="s">
        <v>83</v>
      </c>
      <c r="D7" s="190" t="s">
        <v>73</v>
      </c>
      <c r="E7" s="192" t="s">
        <v>74</v>
      </c>
      <c r="F7" s="193" t="s">
        <v>81</v>
      </c>
      <c r="G7" s="194" t="s">
        <v>82</v>
      </c>
      <c r="H7" s="104" t="s">
        <v>75</v>
      </c>
      <c r="I7" s="202">
        <f ca="1">DATE(2023, 1, -2) - WEEKDAY(DATE(2023, 1, 3)) + I4* 7</f>
        <v>45089</v>
      </c>
      <c r="J7" s="202">
        <f ca="1">DATE(2023, 1, -2) - WEEKDAY(DATE(2023, 1, 3)) + J4* 7</f>
        <v>45096</v>
      </c>
      <c r="K7" s="202">
        <f ca="1">DATE(2023, 1, -2) - WEEKDAY(DATE(2023, 1, 3)) + K4* 7</f>
        <v>45103</v>
      </c>
      <c r="L7" s="202">
        <f ca="1">DATE(2023, 1, -2) - WEEKDAY(DATE(2023, 1, 3)) + L4* 7</f>
        <v>45110</v>
      </c>
      <c r="M7" s="202">
        <f ca="1">DATE(2023, 1, -2) - WEEKDAY(DATE(2023, 1, 3)) + M4* 7</f>
        <v>45117</v>
      </c>
    </row>
    <row r="8" spans="1:16" ht="21" customHeight="1" thickBot="1" x14ac:dyDescent="0.4">
      <c r="A8" s="195"/>
      <c r="B8" s="128"/>
      <c r="C8" s="129"/>
      <c r="D8" s="196"/>
      <c r="E8" s="197"/>
      <c r="F8" s="198"/>
      <c r="G8" s="199"/>
      <c r="H8" s="21"/>
      <c r="I8" s="185">
        <f>SUM(I10:I65)*24</f>
        <v>4</v>
      </c>
      <c r="J8" s="185">
        <f t="shared" ref="J8:M8" si="1">SUM(J10:J65)*24</f>
        <v>6</v>
      </c>
      <c r="K8" s="185">
        <f t="shared" si="1"/>
        <v>0</v>
      </c>
      <c r="L8" s="185">
        <f t="shared" si="1"/>
        <v>0</v>
      </c>
      <c r="M8" s="185">
        <f t="shared" si="1"/>
        <v>0</v>
      </c>
    </row>
    <row r="9" spans="1:16" ht="21" customHeight="1" thickBot="1" x14ac:dyDescent="0.4">
      <c r="A9" s="203" t="s">
        <v>76</v>
      </c>
      <c r="B9" s="204"/>
      <c r="C9" s="205" t="s">
        <v>84</v>
      </c>
      <c r="D9" s="206"/>
      <c r="E9" s="209">
        <f>SUM(E10:E25)</f>
        <v>0.64583333333333326</v>
      </c>
      <c r="F9" s="207">
        <v>28</v>
      </c>
      <c r="G9" s="208">
        <v>45117</v>
      </c>
      <c r="H9" s="21"/>
      <c r="I9" s="214"/>
      <c r="J9" s="214"/>
      <c r="K9" s="214"/>
      <c r="L9" s="212"/>
      <c r="M9" s="222" t="s">
        <v>69</v>
      </c>
      <c r="N9" s="214"/>
      <c r="O9" s="106"/>
      <c r="P9" s="106"/>
    </row>
    <row r="10" spans="1:16" ht="21" customHeight="1" x14ac:dyDescent="0.35">
      <c r="A10" s="200" t="s">
        <v>77</v>
      </c>
      <c r="B10" s="186"/>
      <c r="C10" s="187" t="s">
        <v>85</v>
      </c>
      <c r="D10" s="196"/>
      <c r="E10" s="197">
        <v>0.16666666666666666</v>
      </c>
      <c r="F10" s="198">
        <v>24</v>
      </c>
      <c r="G10" s="199">
        <f>B10</f>
        <v>0</v>
      </c>
      <c r="H10" s="21"/>
      <c r="I10" s="223">
        <v>0.16666666666666666</v>
      </c>
      <c r="J10" s="214"/>
      <c r="K10" s="214"/>
      <c r="L10" s="214"/>
      <c r="M10" s="214"/>
      <c r="N10" s="214"/>
      <c r="O10" s="106"/>
      <c r="P10" s="106"/>
    </row>
    <row r="11" spans="1:16" s="16" customFormat="1" ht="22.9" customHeight="1" x14ac:dyDescent="0.35">
      <c r="A11" s="200" t="s">
        <v>78</v>
      </c>
      <c r="B11" s="186"/>
      <c r="C11" s="187" t="s">
        <v>86</v>
      </c>
      <c r="D11" s="196"/>
      <c r="E11" s="197">
        <v>0.25</v>
      </c>
      <c r="F11" s="198">
        <v>25</v>
      </c>
      <c r="G11" s="199">
        <v>45101</v>
      </c>
      <c r="H11" s="68"/>
      <c r="I11" s="213"/>
      <c r="J11" s="221">
        <v>0.25</v>
      </c>
      <c r="K11" s="214"/>
      <c r="L11" s="214"/>
      <c r="M11" s="214"/>
      <c r="N11" s="214"/>
      <c r="O11" s="106"/>
      <c r="P11" s="106"/>
    </row>
    <row r="12" spans="1:16" s="16" customFormat="1" ht="23.65" customHeight="1" x14ac:dyDescent="0.35">
      <c r="A12" s="200" t="s">
        <v>79</v>
      </c>
      <c r="B12" s="186"/>
      <c r="C12" s="187" t="s">
        <v>88</v>
      </c>
      <c r="D12" s="196"/>
      <c r="E12" s="197">
        <v>0.22916666666666666</v>
      </c>
      <c r="F12" s="198">
        <v>27</v>
      </c>
      <c r="G12" s="199">
        <v>45110</v>
      </c>
      <c r="H12" s="68"/>
      <c r="I12" s="213"/>
      <c r="J12" s="214"/>
      <c r="K12" s="214"/>
      <c r="L12" s="211" t="s">
        <v>87</v>
      </c>
      <c r="M12" s="214"/>
      <c r="N12" s="214"/>
      <c r="O12" s="106"/>
      <c r="P12" s="106"/>
    </row>
    <row r="13" spans="1:16" s="16" customFormat="1" ht="23.65" customHeight="1" x14ac:dyDescent="0.3">
      <c r="A13" s="3"/>
      <c r="B13" s="3"/>
      <c r="C13" s="3"/>
      <c r="D13" s="3"/>
      <c r="E13" s="3"/>
      <c r="F13" s="198"/>
      <c r="G13" s="199"/>
      <c r="H13" s="68"/>
      <c r="I13" s="213"/>
      <c r="J13" s="214"/>
      <c r="K13" s="214"/>
      <c r="L13" s="214"/>
      <c r="M13" s="214"/>
      <c r="N13" s="214"/>
      <c r="O13" s="106"/>
      <c r="P13" s="106"/>
    </row>
    <row r="14" spans="1:16" s="16" customFormat="1" ht="23.65" customHeight="1" x14ac:dyDescent="0.3">
      <c r="A14" s="3"/>
      <c r="B14" s="3"/>
      <c r="C14" s="3"/>
      <c r="D14" s="3"/>
      <c r="E14" s="3"/>
      <c r="F14" s="198"/>
      <c r="G14" s="199"/>
      <c r="H14" s="68"/>
      <c r="I14" s="213"/>
      <c r="J14" s="214"/>
      <c r="K14" s="214"/>
      <c r="L14" s="214"/>
      <c r="M14" s="214"/>
      <c r="N14" s="214"/>
      <c r="O14" s="106"/>
      <c r="P14" s="106"/>
    </row>
    <row r="15" spans="1:16" s="16" customFormat="1" ht="23.65" customHeight="1" x14ac:dyDescent="0.3">
      <c r="A15" s="3"/>
      <c r="B15" s="3"/>
      <c r="C15" s="3"/>
      <c r="D15" s="3"/>
      <c r="E15" s="3"/>
      <c r="F15" s="198"/>
      <c r="G15" s="199"/>
      <c r="H15" s="68"/>
      <c r="I15" s="213"/>
      <c r="J15" s="214"/>
      <c r="K15" s="214"/>
      <c r="L15" s="214"/>
      <c r="M15" s="214"/>
      <c r="N15" s="214"/>
      <c r="O15" s="106"/>
      <c r="P15" s="106"/>
    </row>
    <row r="16" spans="1:16" s="16" customFormat="1" ht="23.65" hidden="1" customHeight="1" x14ac:dyDescent="0.3">
      <c r="A16" s="3"/>
      <c r="B16" s="3"/>
      <c r="C16" s="3"/>
      <c r="D16" s="3"/>
      <c r="E16" s="3"/>
      <c r="F16" s="198"/>
      <c r="G16" s="199"/>
      <c r="H16" s="68"/>
      <c r="I16" s="213"/>
      <c r="J16" s="213"/>
      <c r="K16" s="214"/>
      <c r="L16" s="214"/>
      <c r="M16" s="214"/>
      <c r="N16" s="214"/>
      <c r="O16" s="106"/>
      <c r="P16" s="106"/>
    </row>
    <row r="17" spans="1:16" s="16" customFormat="1" ht="23.65" hidden="1" customHeight="1" x14ac:dyDescent="0.3">
      <c r="A17" s="3"/>
      <c r="B17" s="3"/>
      <c r="C17" s="3"/>
      <c r="D17" s="3"/>
      <c r="E17" s="3"/>
      <c r="F17" s="198"/>
      <c r="G17" s="199"/>
      <c r="H17" s="68"/>
      <c r="I17" s="213"/>
      <c r="J17" s="214"/>
      <c r="K17" s="214"/>
      <c r="L17" s="214"/>
      <c r="M17" s="214"/>
      <c r="N17" s="214"/>
      <c r="O17" s="106"/>
      <c r="P17" s="106"/>
    </row>
    <row r="18" spans="1:16" s="16" customFormat="1" ht="23.65" hidden="1" customHeight="1" thickBot="1" x14ac:dyDescent="0.3">
      <c r="A18" s="3"/>
      <c r="B18" s="3"/>
      <c r="C18" s="3"/>
      <c r="D18" s="3"/>
      <c r="E18" s="3"/>
      <c r="F18" s="198"/>
      <c r="G18" s="199"/>
      <c r="H18" s="68"/>
      <c r="I18" s="213"/>
      <c r="J18" s="214"/>
      <c r="K18" s="214"/>
      <c r="L18" s="214"/>
      <c r="M18" s="214"/>
      <c r="N18" s="214"/>
      <c r="O18" s="106"/>
      <c r="P18" s="106"/>
    </row>
    <row r="19" spans="1:16" s="16" customFormat="1" ht="23.65" customHeight="1" collapsed="1" x14ac:dyDescent="0.3">
      <c r="A19" s="3"/>
      <c r="B19" s="3"/>
      <c r="C19" s="3"/>
      <c r="D19" s="3"/>
      <c r="E19" s="3"/>
      <c r="F19" s="198"/>
      <c r="G19" s="199"/>
      <c r="H19" s="68"/>
      <c r="I19" s="213"/>
      <c r="J19" s="214"/>
      <c r="K19" s="214"/>
      <c r="L19" s="214"/>
      <c r="M19" s="214"/>
      <c r="N19" s="214"/>
      <c r="O19" s="106"/>
      <c r="P19" s="106"/>
    </row>
    <row r="20" spans="1:16" s="16" customFormat="1" ht="23.65" customHeight="1" x14ac:dyDescent="0.3">
      <c r="A20" s="3"/>
      <c r="B20" s="3"/>
      <c r="C20" s="3"/>
      <c r="D20" s="3"/>
      <c r="E20" s="3"/>
      <c r="F20" s="198"/>
      <c r="G20" s="199"/>
      <c r="H20" s="68"/>
      <c r="I20" s="213"/>
      <c r="J20" s="214"/>
      <c r="K20" s="214"/>
      <c r="L20" s="214"/>
      <c r="M20" s="214"/>
      <c r="N20" s="214"/>
      <c r="O20" s="106"/>
      <c r="P20" s="106"/>
    </row>
    <row r="21" spans="1:16" s="16" customFormat="1" ht="28.15" customHeight="1" x14ac:dyDescent="0.3">
      <c r="A21" s="3"/>
      <c r="B21" s="3"/>
      <c r="C21" s="3"/>
      <c r="D21" s="3"/>
      <c r="E21" s="3"/>
      <c r="F21" s="198"/>
      <c r="G21" s="199"/>
      <c r="H21" s="68"/>
      <c r="I21" s="213"/>
      <c r="J21" s="214"/>
      <c r="K21" s="214"/>
      <c r="L21" s="214"/>
      <c r="M21" s="214"/>
      <c r="N21" s="214"/>
      <c r="O21" s="106"/>
      <c r="P21" s="106"/>
    </row>
    <row r="22" spans="1:16" s="16" customFormat="1" ht="28.15" customHeight="1" x14ac:dyDescent="0.3">
      <c r="A22" s="3"/>
      <c r="B22" s="3"/>
      <c r="C22" s="3"/>
      <c r="D22" s="3"/>
      <c r="E22" s="3"/>
      <c r="F22" s="198"/>
      <c r="G22" s="199"/>
      <c r="H22" s="68"/>
      <c r="I22" s="213"/>
      <c r="J22" s="214"/>
      <c r="K22" s="214"/>
      <c r="L22" s="214"/>
      <c r="M22" s="214"/>
      <c r="N22" s="214"/>
      <c r="O22" s="106"/>
      <c r="P22" s="106"/>
    </row>
    <row r="23" spans="1:16" s="16" customFormat="1" ht="28.15" customHeight="1" x14ac:dyDescent="0.3">
      <c r="A23" s="3"/>
      <c r="B23" s="3"/>
      <c r="C23" s="3"/>
      <c r="D23" s="3"/>
      <c r="E23" s="3"/>
      <c r="F23" s="198"/>
      <c r="G23" s="199"/>
      <c r="H23" s="68"/>
      <c r="I23" s="215"/>
      <c r="J23" s="214"/>
      <c r="K23" s="214"/>
      <c r="L23" s="214"/>
      <c r="M23" s="214"/>
      <c r="N23" s="214"/>
      <c r="O23" s="106"/>
      <c r="P23" s="106"/>
    </row>
    <row r="24" spans="1:16" s="16" customFormat="1" ht="28.15" customHeight="1" x14ac:dyDescent="0.3">
      <c r="A24" s="3"/>
      <c r="B24" s="3"/>
      <c r="C24" s="3"/>
      <c r="D24" s="3"/>
      <c r="E24" s="3"/>
      <c r="F24" s="198"/>
      <c r="G24" s="199"/>
      <c r="H24" s="68"/>
      <c r="I24" s="213"/>
      <c r="J24" s="214"/>
      <c r="K24" s="214"/>
      <c r="L24" s="214"/>
      <c r="M24" s="214"/>
      <c r="N24" s="214"/>
      <c r="O24" s="106"/>
      <c r="P24" s="106"/>
    </row>
    <row r="25" spans="1:16" s="16" customFormat="1" ht="28.15" customHeight="1" x14ac:dyDescent="0.3">
      <c r="A25" s="3"/>
      <c r="B25" s="3"/>
      <c r="C25" s="3"/>
      <c r="D25" s="3"/>
      <c r="E25" s="3"/>
      <c r="F25" s="198"/>
      <c r="G25" s="199"/>
      <c r="H25" s="68"/>
      <c r="I25" s="213"/>
      <c r="J25" s="214"/>
      <c r="K25" s="214"/>
      <c r="L25" s="214"/>
      <c r="M25" s="214"/>
      <c r="N25" s="214"/>
      <c r="O25" s="106"/>
      <c r="P25" s="106"/>
    </row>
    <row r="26" spans="1:16" s="16" customFormat="1" ht="28.15" customHeight="1" x14ac:dyDescent="0.3">
      <c r="A26" s="3"/>
      <c r="B26" s="3"/>
      <c r="C26" s="3"/>
      <c r="D26" s="3"/>
      <c r="E26" s="3"/>
      <c r="F26" s="198"/>
      <c r="G26" s="199"/>
      <c r="H26" s="68"/>
      <c r="I26" s="213"/>
      <c r="J26" s="214"/>
      <c r="K26" s="214"/>
      <c r="L26" s="214"/>
      <c r="M26" s="214"/>
      <c r="N26" s="214"/>
      <c r="O26" s="106"/>
      <c r="P26" s="106"/>
    </row>
    <row r="27" spans="1:16" s="16" customFormat="1" ht="28.15" customHeight="1" x14ac:dyDescent="0.3">
      <c r="A27" s="3"/>
      <c r="B27" s="3"/>
      <c r="C27" s="3"/>
      <c r="D27" s="3"/>
      <c r="E27" s="3"/>
      <c r="F27" s="3"/>
      <c r="G27" s="199"/>
      <c r="H27" s="68"/>
      <c r="I27" s="213"/>
      <c r="J27" s="214"/>
      <c r="K27" s="214"/>
      <c r="L27" s="214"/>
      <c r="M27" s="214"/>
      <c r="N27" s="214"/>
      <c r="O27" s="106"/>
      <c r="P27" s="106"/>
    </row>
    <row r="28" spans="1:16" s="16" customFormat="1" ht="28.15" customHeight="1" x14ac:dyDescent="0.3">
      <c r="A28" s="3"/>
      <c r="B28" s="3"/>
      <c r="C28" s="3"/>
      <c r="D28" s="3"/>
      <c r="E28" s="3"/>
      <c r="F28" s="3"/>
      <c r="G28" s="199"/>
      <c r="H28" s="68"/>
      <c r="I28" s="213"/>
      <c r="J28" s="214"/>
      <c r="K28" s="214"/>
      <c r="L28" s="214"/>
      <c r="M28" s="214"/>
      <c r="N28" s="214"/>
      <c r="O28" s="106"/>
      <c r="P28" s="106"/>
    </row>
    <row r="29" spans="1:16" s="16" customFormat="1" ht="28.9" customHeight="1" x14ac:dyDescent="0.3">
      <c r="A29" s="3"/>
      <c r="B29" s="3"/>
      <c r="C29" s="3"/>
      <c r="D29" s="3"/>
      <c r="E29" s="3"/>
      <c r="F29" s="3"/>
      <c r="G29" s="3"/>
      <c r="H29" s="68"/>
      <c r="I29" s="213"/>
      <c r="J29" s="214"/>
      <c r="K29" s="214"/>
      <c r="L29" s="214"/>
      <c r="M29" s="214"/>
      <c r="N29" s="214"/>
      <c r="O29" s="106"/>
      <c r="P29" s="106"/>
    </row>
    <row r="30" spans="1:16" s="16" customFormat="1" ht="23.65" customHeight="1" x14ac:dyDescent="0.35">
      <c r="A30"/>
      <c r="B30"/>
      <c r="C30"/>
      <c r="D30"/>
      <c r="E30"/>
      <c r="F30"/>
      <c r="G30"/>
      <c r="H30" s="68"/>
      <c r="I30" s="213"/>
      <c r="J30" s="214"/>
      <c r="K30" s="214"/>
      <c r="L30" s="214"/>
      <c r="M30" s="214"/>
      <c r="N30" s="214"/>
      <c r="O30" s="106"/>
      <c r="P30" s="106"/>
    </row>
    <row r="31" spans="1:16" s="16" customFormat="1" ht="23.65" customHeight="1" x14ac:dyDescent="0.35">
      <c r="A31"/>
      <c r="B31"/>
      <c r="C31"/>
      <c r="D31"/>
      <c r="E31"/>
      <c r="F31"/>
      <c r="G31"/>
      <c r="H31" s="68"/>
      <c r="I31" s="213"/>
      <c r="J31" s="214"/>
      <c r="K31" s="214"/>
      <c r="L31" s="214"/>
      <c r="M31" s="214"/>
      <c r="N31" s="214"/>
      <c r="O31" s="106"/>
      <c r="P31" s="106"/>
    </row>
    <row r="32" spans="1:16" s="16" customFormat="1" ht="23.65" customHeight="1" x14ac:dyDescent="0.35">
      <c r="A32"/>
      <c r="B32"/>
      <c r="C32"/>
      <c r="D32"/>
      <c r="E32"/>
      <c r="F32"/>
      <c r="G32"/>
      <c r="H32" s="68"/>
      <c r="I32" s="213"/>
      <c r="J32" s="214"/>
      <c r="K32" s="214"/>
      <c r="L32" s="214"/>
      <c r="M32" s="214"/>
      <c r="N32" s="214"/>
      <c r="O32" s="106"/>
      <c r="P32" s="106"/>
    </row>
    <row r="33" spans="1:16" s="16" customFormat="1" ht="23.65" customHeight="1" x14ac:dyDescent="0.35">
      <c r="A33"/>
      <c r="B33"/>
      <c r="C33"/>
      <c r="D33"/>
      <c r="E33"/>
      <c r="F33"/>
      <c r="G33"/>
      <c r="H33" s="68"/>
      <c r="I33" s="215"/>
      <c r="J33" s="214"/>
      <c r="K33" s="214"/>
      <c r="L33" s="214"/>
      <c r="M33" s="214"/>
      <c r="N33" s="214"/>
      <c r="O33" s="106"/>
      <c r="P33" s="106"/>
    </row>
    <row r="34" spans="1:16" s="16" customFormat="1" ht="23.65" customHeight="1" x14ac:dyDescent="0.35">
      <c r="A34"/>
      <c r="B34"/>
      <c r="C34"/>
      <c r="D34"/>
      <c r="E34"/>
      <c r="F34"/>
      <c r="G34"/>
      <c r="H34" s="68"/>
      <c r="I34" s="213"/>
      <c r="J34" s="214"/>
      <c r="K34" s="214"/>
      <c r="L34" s="214"/>
      <c r="M34" s="214"/>
      <c r="N34" s="214"/>
      <c r="O34" s="106"/>
      <c r="P34" s="106"/>
    </row>
    <row r="35" spans="1:16" s="16" customFormat="1" ht="23.65" customHeight="1" x14ac:dyDescent="0.35">
      <c r="A35"/>
      <c r="B35"/>
      <c r="C35"/>
      <c r="D35"/>
      <c r="E35"/>
      <c r="F35"/>
      <c r="G35"/>
      <c r="H35" s="68"/>
      <c r="I35" s="213"/>
      <c r="J35" s="214"/>
      <c r="K35" s="214"/>
      <c r="L35" s="214"/>
      <c r="M35" s="214"/>
      <c r="N35" s="214"/>
      <c r="O35" s="106"/>
      <c r="P35" s="106"/>
    </row>
    <row r="36" spans="1:16" s="16" customFormat="1" ht="23.65" customHeight="1" x14ac:dyDescent="0.35">
      <c r="A36"/>
      <c r="B36"/>
      <c r="C36"/>
      <c r="D36"/>
      <c r="E36"/>
      <c r="F36"/>
      <c r="G36"/>
      <c r="H36" s="68"/>
      <c r="I36" s="213"/>
      <c r="J36" s="214"/>
      <c r="K36" s="214"/>
      <c r="L36" s="214"/>
      <c r="M36" s="214"/>
      <c r="N36" s="214"/>
      <c r="O36" s="106"/>
      <c r="P36" s="106"/>
    </row>
    <row r="37" spans="1:16" s="16" customFormat="1" ht="23.45" hidden="1" customHeight="1" x14ac:dyDescent="0.35">
      <c r="A37"/>
      <c r="B37"/>
      <c r="C37"/>
      <c r="D37"/>
      <c r="E37"/>
      <c r="F37"/>
      <c r="G37"/>
      <c r="H37" s="68"/>
      <c r="I37" s="213"/>
      <c r="J37" s="214"/>
      <c r="K37" s="214"/>
      <c r="L37" s="214"/>
      <c r="M37" s="214"/>
      <c r="N37" s="214"/>
      <c r="O37" s="106"/>
      <c r="P37" s="106"/>
    </row>
    <row r="38" spans="1:16" s="16" customFormat="1" ht="23.45" hidden="1" customHeight="1" x14ac:dyDescent="0.35">
      <c r="A38"/>
      <c r="B38"/>
      <c r="C38"/>
      <c r="D38"/>
      <c r="E38"/>
      <c r="F38"/>
      <c r="G38"/>
      <c r="H38" s="68"/>
      <c r="I38" s="213"/>
      <c r="J38" s="214"/>
      <c r="K38" s="214"/>
      <c r="L38" s="214"/>
      <c r="M38" s="214"/>
      <c r="N38" s="214"/>
      <c r="O38" s="106"/>
      <c r="P38" s="106"/>
    </row>
    <row r="39" spans="1:16" s="16" customFormat="1" ht="23.45" hidden="1" customHeight="1" x14ac:dyDescent="0.35">
      <c r="A39"/>
      <c r="B39"/>
      <c r="C39"/>
      <c r="D39"/>
      <c r="E39"/>
      <c r="F39"/>
      <c r="G39"/>
      <c r="H39" s="68"/>
      <c r="I39" s="213"/>
      <c r="J39" s="214"/>
      <c r="K39" s="214"/>
      <c r="L39" s="214"/>
      <c r="M39" s="214"/>
      <c r="N39" s="214"/>
      <c r="O39" s="106"/>
      <c r="P39" s="106"/>
    </row>
    <row r="40" spans="1:16" s="16" customFormat="1" ht="23.45" hidden="1" customHeight="1" thickBot="1" x14ac:dyDescent="0.35">
      <c r="A40"/>
      <c r="B40"/>
      <c r="C40"/>
      <c r="D40"/>
      <c r="E40"/>
      <c r="F40"/>
      <c r="G40"/>
      <c r="H40" s="68"/>
      <c r="I40" s="213"/>
      <c r="J40" s="214"/>
      <c r="K40" s="214"/>
      <c r="L40" s="214"/>
      <c r="M40" s="214"/>
      <c r="N40" s="214"/>
      <c r="O40" s="106"/>
      <c r="P40" s="106"/>
    </row>
    <row r="41" spans="1:16" s="16" customFormat="1" ht="23.45" customHeight="1" collapsed="1" x14ac:dyDescent="0.35">
      <c r="A41"/>
      <c r="B41"/>
      <c r="C41"/>
      <c r="D41"/>
      <c r="E41"/>
      <c r="F41"/>
      <c r="G41"/>
      <c r="H41" s="68"/>
      <c r="I41" s="213"/>
      <c r="J41" s="214"/>
      <c r="K41" s="214"/>
      <c r="L41" s="214"/>
      <c r="M41" s="214"/>
      <c r="N41" s="214"/>
      <c r="O41" s="106"/>
      <c r="P41" s="106"/>
    </row>
    <row r="42" spans="1:16" s="16" customFormat="1" ht="23.45" customHeight="1" x14ac:dyDescent="0.35">
      <c r="A42"/>
      <c r="B42"/>
      <c r="C42"/>
      <c r="D42"/>
      <c r="E42"/>
      <c r="F42"/>
      <c r="G42"/>
      <c r="H42" s="68"/>
      <c r="I42" s="213"/>
      <c r="J42" s="214"/>
      <c r="K42" s="214"/>
      <c r="L42" s="214"/>
      <c r="M42" s="214"/>
      <c r="N42" s="214"/>
      <c r="O42" s="106"/>
      <c r="P42" s="106"/>
    </row>
    <row r="43" spans="1:16" s="16" customFormat="1" ht="23.45" customHeight="1" x14ac:dyDescent="0.35">
      <c r="A43"/>
      <c r="B43"/>
      <c r="C43"/>
      <c r="D43"/>
      <c r="E43"/>
      <c r="F43"/>
      <c r="G43"/>
      <c r="H43" s="68"/>
      <c r="I43" s="213"/>
      <c r="J43" s="214"/>
      <c r="K43" s="214"/>
      <c r="L43" s="214"/>
      <c r="M43" s="214"/>
      <c r="N43" s="214"/>
      <c r="O43" s="106"/>
      <c r="P43" s="106"/>
    </row>
    <row r="44" spans="1:16" s="16" customFormat="1" ht="23.45" customHeight="1" x14ac:dyDescent="0.35">
      <c r="A44"/>
      <c r="B44"/>
      <c r="C44"/>
      <c r="D44"/>
      <c r="E44"/>
      <c r="F44"/>
      <c r="G44"/>
      <c r="H44" s="68"/>
      <c r="I44" s="213"/>
      <c r="J44" s="214"/>
      <c r="K44" s="214"/>
      <c r="L44" s="214"/>
      <c r="M44" s="214"/>
      <c r="N44" s="214"/>
      <c r="O44" s="106"/>
      <c r="P44" s="106"/>
    </row>
    <row r="45" spans="1:16" s="16" customFormat="1" ht="23.45" hidden="1" customHeight="1" x14ac:dyDescent="0.35">
      <c r="A45"/>
      <c r="B45"/>
      <c r="C45"/>
      <c r="D45"/>
      <c r="E45"/>
      <c r="F45"/>
      <c r="G45"/>
      <c r="H45" s="68"/>
      <c r="I45" s="215"/>
      <c r="J45" s="214"/>
      <c r="K45" s="214"/>
      <c r="L45" s="214"/>
      <c r="M45" s="214"/>
      <c r="N45" s="214"/>
      <c r="O45" s="106"/>
      <c r="P45" s="106"/>
    </row>
    <row r="46" spans="1:16" s="16" customFormat="1" ht="23.45" hidden="1" customHeight="1" x14ac:dyDescent="0.35">
      <c r="A46"/>
      <c r="B46"/>
      <c r="C46"/>
      <c r="D46"/>
      <c r="E46"/>
      <c r="F46"/>
      <c r="G46"/>
      <c r="H46" s="68"/>
      <c r="I46" s="213"/>
      <c r="J46" s="214"/>
      <c r="K46" s="214"/>
      <c r="L46" s="214"/>
      <c r="M46" s="214"/>
      <c r="N46" s="214"/>
      <c r="O46" s="106"/>
      <c r="P46" s="106"/>
    </row>
    <row r="47" spans="1:16" s="16" customFormat="1" ht="23.45" hidden="1" customHeight="1" thickBot="1" x14ac:dyDescent="0.35">
      <c r="A47"/>
      <c r="B47"/>
      <c r="C47"/>
      <c r="D47"/>
      <c r="E47"/>
      <c r="F47"/>
      <c r="G47"/>
      <c r="H47" s="68"/>
      <c r="I47" s="213"/>
      <c r="J47" s="214"/>
      <c r="K47" s="214"/>
      <c r="L47" s="214"/>
      <c r="M47" s="214"/>
      <c r="N47" s="214"/>
      <c r="O47" s="106"/>
      <c r="P47" s="106"/>
    </row>
    <row r="48" spans="1:16" s="16" customFormat="1" ht="23.45" customHeight="1" collapsed="1" x14ac:dyDescent="0.35">
      <c r="A48"/>
      <c r="B48"/>
      <c r="C48"/>
      <c r="D48"/>
      <c r="E48"/>
      <c r="F48"/>
      <c r="G48"/>
      <c r="H48" s="68"/>
      <c r="I48" s="213"/>
      <c r="J48" s="214"/>
      <c r="K48" s="214"/>
      <c r="L48" s="214"/>
      <c r="M48" s="214"/>
      <c r="N48" s="214"/>
      <c r="O48" s="106"/>
      <c r="P48" s="106"/>
    </row>
    <row r="49" spans="1:16" s="16" customFormat="1" ht="23.45" customHeight="1" x14ac:dyDescent="0.35">
      <c r="A49"/>
      <c r="B49"/>
      <c r="C49"/>
      <c r="D49"/>
      <c r="E49"/>
      <c r="F49"/>
      <c r="G49"/>
      <c r="H49" s="68"/>
      <c r="I49" s="213"/>
      <c r="J49" s="214"/>
      <c r="K49" s="214"/>
      <c r="L49" s="214"/>
      <c r="M49" s="214"/>
      <c r="N49" s="214"/>
      <c r="O49" s="106"/>
      <c r="P49" s="106"/>
    </row>
    <row r="50" spans="1:16" s="16" customFormat="1" ht="23.45" customHeight="1" x14ac:dyDescent="0.35">
      <c r="A50"/>
      <c r="B50"/>
      <c r="C50"/>
      <c r="D50"/>
      <c r="E50"/>
      <c r="F50"/>
      <c r="G50"/>
      <c r="H50" s="68"/>
      <c r="I50" s="213"/>
      <c r="J50" s="214"/>
      <c r="K50" s="214"/>
      <c r="L50" s="214"/>
      <c r="M50" s="214"/>
      <c r="N50" s="214"/>
      <c r="O50" s="106"/>
      <c r="P50" s="106"/>
    </row>
    <row r="51" spans="1:16" s="16" customFormat="1" ht="23.45" customHeight="1" x14ac:dyDescent="0.35">
      <c r="A51"/>
      <c r="B51"/>
      <c r="C51"/>
      <c r="D51"/>
      <c r="E51"/>
      <c r="F51"/>
      <c r="G51"/>
      <c r="H51" s="68"/>
      <c r="I51" s="213"/>
      <c r="J51" s="214"/>
      <c r="K51" s="214"/>
      <c r="L51" s="214"/>
      <c r="M51" s="214"/>
      <c r="N51" s="214"/>
      <c r="O51" s="106"/>
      <c r="P51" s="106"/>
    </row>
    <row r="52" spans="1:16" s="16" customFormat="1" ht="23.45" customHeight="1" x14ac:dyDescent="0.35">
      <c r="A52"/>
      <c r="B52"/>
      <c r="C52"/>
      <c r="D52"/>
      <c r="E52"/>
      <c r="F52"/>
      <c r="G52"/>
      <c r="H52" s="68"/>
      <c r="I52" s="216"/>
      <c r="J52" s="217"/>
      <c r="K52" s="217"/>
      <c r="L52" s="217"/>
      <c r="M52" s="217"/>
      <c r="N52" s="217"/>
      <c r="O52" s="106"/>
      <c r="P52" s="106"/>
    </row>
    <row r="53" spans="1:16" s="16" customFormat="1" ht="23.45" customHeight="1" x14ac:dyDescent="0.35">
      <c r="A53"/>
      <c r="B53"/>
      <c r="C53"/>
      <c r="D53"/>
      <c r="E53"/>
      <c r="F53"/>
      <c r="G53"/>
      <c r="H53" s="68"/>
      <c r="I53" s="216"/>
      <c r="J53" s="217"/>
      <c r="K53" s="217"/>
      <c r="L53" s="217"/>
      <c r="M53" s="217"/>
      <c r="N53" s="217"/>
      <c r="O53" s="106"/>
      <c r="P53" s="106"/>
    </row>
    <row r="54" spans="1:16" s="16" customFormat="1" ht="23.45" customHeight="1" x14ac:dyDescent="0.35">
      <c r="A54"/>
      <c r="B54"/>
      <c r="C54"/>
      <c r="D54"/>
      <c r="E54"/>
      <c r="F54"/>
      <c r="G54"/>
      <c r="H54" s="68"/>
      <c r="I54" s="216"/>
      <c r="J54" s="217"/>
      <c r="K54" s="217"/>
      <c r="L54" s="217"/>
      <c r="M54" s="217"/>
      <c r="N54" s="217"/>
      <c r="O54" s="106"/>
      <c r="P54" s="106"/>
    </row>
    <row r="55" spans="1:16" s="16" customFormat="1" ht="21.75" customHeight="1" x14ac:dyDescent="0.35">
      <c r="A55"/>
      <c r="B55"/>
      <c r="C55"/>
      <c r="D55"/>
      <c r="E55"/>
      <c r="F55"/>
      <c r="G55"/>
      <c r="H55" s="68"/>
      <c r="I55" s="216"/>
      <c r="J55" s="216"/>
      <c r="K55" s="216"/>
      <c r="L55" s="216"/>
      <c r="M55" s="216"/>
      <c r="N55" s="217"/>
      <c r="O55" s="106"/>
      <c r="P55" s="106"/>
    </row>
    <row r="56" spans="1:16" s="16" customFormat="1" x14ac:dyDescent="0.35">
      <c r="A56"/>
      <c r="B56"/>
      <c r="C56"/>
      <c r="D56"/>
      <c r="E56"/>
      <c r="F56"/>
      <c r="G56"/>
      <c r="H56" s="68"/>
      <c r="I56" s="216"/>
      <c r="J56" s="216"/>
      <c r="K56" s="216"/>
      <c r="L56" s="216"/>
      <c r="M56" s="216"/>
      <c r="N56" s="217"/>
      <c r="O56" s="106"/>
      <c r="P56" s="106"/>
    </row>
    <row r="57" spans="1:16" s="16" customFormat="1" collapsed="1" x14ac:dyDescent="0.35">
      <c r="A57"/>
      <c r="B57"/>
      <c r="C57"/>
      <c r="D57"/>
      <c r="E57"/>
      <c r="F57"/>
      <c r="G57"/>
      <c r="H57" s="68"/>
      <c r="I57" s="216"/>
      <c r="J57" s="216"/>
      <c r="K57" s="216"/>
      <c r="L57" s="216"/>
      <c r="M57" s="216"/>
      <c r="N57" s="217"/>
      <c r="O57" s="106"/>
      <c r="P57" s="106"/>
    </row>
    <row r="58" spans="1:16" s="16" customFormat="1" x14ac:dyDescent="0.35">
      <c r="A58"/>
      <c r="B58"/>
      <c r="C58"/>
      <c r="D58"/>
      <c r="E58"/>
      <c r="F58"/>
      <c r="G58"/>
      <c r="H58" s="68"/>
      <c r="I58" s="216"/>
      <c r="J58" s="216"/>
      <c r="K58" s="216"/>
      <c r="L58" s="216"/>
      <c r="M58" s="216"/>
      <c r="N58" s="217"/>
      <c r="O58" s="106"/>
      <c r="P58" s="106"/>
    </row>
    <row r="59" spans="1:16" s="16" customFormat="1" collapsed="1" x14ac:dyDescent="0.35">
      <c r="A59"/>
      <c r="B59"/>
      <c r="C59"/>
      <c r="D59"/>
      <c r="E59"/>
      <c r="F59"/>
      <c r="G59"/>
      <c r="H59" s="68"/>
      <c r="I59" s="216"/>
      <c r="J59" s="216"/>
      <c r="K59" s="216"/>
      <c r="L59" s="216"/>
      <c r="M59" s="216"/>
      <c r="N59" s="217"/>
      <c r="O59" s="106"/>
      <c r="P59" s="106"/>
    </row>
    <row r="60" spans="1:16" s="16" customFormat="1" x14ac:dyDescent="0.35">
      <c r="A60"/>
      <c r="B60"/>
      <c r="C60"/>
      <c r="D60"/>
      <c r="E60"/>
      <c r="F60"/>
      <c r="G60"/>
      <c r="H60" s="68"/>
      <c r="I60" s="216"/>
      <c r="J60" s="216"/>
      <c r="K60" s="216"/>
      <c r="L60" s="216"/>
      <c r="M60" s="216"/>
      <c r="N60" s="217"/>
      <c r="O60" s="106"/>
      <c r="P60" s="106"/>
    </row>
    <row r="61" spans="1:16" s="16" customFormat="1" x14ac:dyDescent="0.35">
      <c r="A61"/>
      <c r="B61"/>
      <c r="C61"/>
      <c r="D61"/>
      <c r="E61"/>
      <c r="F61"/>
      <c r="G61"/>
      <c r="H61" s="68"/>
      <c r="I61" s="216"/>
      <c r="J61" s="216"/>
      <c r="K61" s="216"/>
      <c r="L61" s="216"/>
      <c r="M61" s="216"/>
      <c r="N61" s="217"/>
      <c r="O61" s="106"/>
      <c r="P61" s="106"/>
    </row>
    <row r="62" spans="1:16" s="16" customFormat="1" x14ac:dyDescent="0.35">
      <c r="A62"/>
      <c r="B62"/>
      <c r="C62"/>
      <c r="D62"/>
      <c r="E62"/>
      <c r="F62"/>
      <c r="G62"/>
      <c r="H62" s="68"/>
      <c r="I62" s="216"/>
      <c r="J62" s="216"/>
      <c r="K62" s="216"/>
      <c r="L62" s="216"/>
      <c r="M62" s="216"/>
      <c r="N62" s="217"/>
      <c r="O62" s="106"/>
      <c r="P62" s="106"/>
    </row>
    <row r="63" spans="1:16" s="16" customFormat="1" x14ac:dyDescent="0.35">
      <c r="A63"/>
      <c r="B63"/>
      <c r="C63"/>
      <c r="D63"/>
      <c r="E63"/>
      <c r="F63"/>
      <c r="G63"/>
      <c r="H63" s="68"/>
      <c r="I63" s="216"/>
      <c r="J63" s="216"/>
      <c r="K63" s="216"/>
      <c r="L63" s="216"/>
      <c r="M63" s="216"/>
      <c r="N63" s="217"/>
      <c r="O63" s="106"/>
      <c r="P63" s="106"/>
    </row>
    <row r="64" spans="1:16" s="16" customFormat="1" collapsed="1" x14ac:dyDescent="0.35">
      <c r="A64"/>
      <c r="B64"/>
      <c r="C64"/>
      <c r="D64"/>
      <c r="E64"/>
      <c r="F64"/>
      <c r="G64"/>
      <c r="H64" s="68"/>
      <c r="I64" s="216"/>
      <c r="J64" s="216"/>
      <c r="K64" s="216"/>
      <c r="L64" s="216"/>
      <c r="M64" s="216"/>
      <c r="N64" s="217"/>
      <c r="O64" s="106"/>
      <c r="P64" s="106"/>
    </row>
    <row r="65" spans="1:16" s="16" customFormat="1" x14ac:dyDescent="0.35">
      <c r="A65"/>
      <c r="B65"/>
      <c r="C65"/>
      <c r="D65"/>
      <c r="E65"/>
      <c r="F65"/>
      <c r="G65"/>
      <c r="H65" s="68"/>
      <c r="I65" s="216"/>
      <c r="J65" s="216"/>
      <c r="K65" s="216"/>
      <c r="L65" s="216"/>
      <c r="M65" s="216"/>
      <c r="N65" s="217"/>
      <c r="O65" s="106"/>
      <c r="P65" s="106"/>
    </row>
    <row r="66" spans="1:16" x14ac:dyDescent="0.35">
      <c r="A66"/>
      <c r="B66"/>
      <c r="C66"/>
      <c r="D66"/>
      <c r="E66"/>
      <c r="F66"/>
      <c r="G66"/>
      <c r="I66" s="217"/>
      <c r="J66" s="217"/>
      <c r="K66" s="217"/>
      <c r="L66" s="217"/>
      <c r="M66" s="217"/>
      <c r="N66" s="217"/>
      <c r="O66" s="106"/>
      <c r="P66" s="106"/>
    </row>
    <row r="67" spans="1:16" x14ac:dyDescent="0.35">
      <c r="A67"/>
      <c r="B67"/>
      <c r="C67"/>
      <c r="D67"/>
      <c r="E67"/>
      <c r="F67"/>
      <c r="G67"/>
      <c r="I67" s="217"/>
      <c r="J67" s="217"/>
      <c r="K67" s="217"/>
      <c r="L67" s="217"/>
      <c r="M67" s="217"/>
      <c r="N67" s="217"/>
      <c r="O67" s="106"/>
      <c r="P67" s="106"/>
    </row>
    <row r="68" spans="1:16" x14ac:dyDescent="0.35">
      <c r="A68"/>
      <c r="B68"/>
      <c r="C68"/>
      <c r="D68"/>
      <c r="E68"/>
      <c r="F68"/>
      <c r="G68"/>
      <c r="I68" s="217"/>
      <c r="J68" s="217"/>
      <c r="K68" s="217"/>
      <c r="L68" s="217"/>
      <c r="M68" s="217"/>
      <c r="N68" s="217"/>
      <c r="O68" s="106"/>
      <c r="P68" s="106"/>
    </row>
    <row r="69" spans="1:16" x14ac:dyDescent="0.35">
      <c r="A69"/>
      <c r="B69"/>
      <c r="C69"/>
      <c r="D69"/>
      <c r="E69"/>
      <c r="F69"/>
      <c r="G69"/>
      <c r="I69" s="217"/>
      <c r="J69" s="217"/>
      <c r="K69" s="217"/>
      <c r="L69" s="217"/>
      <c r="M69" s="217"/>
      <c r="N69" s="217"/>
      <c r="O69" s="106"/>
      <c r="P69" s="106"/>
    </row>
    <row r="70" spans="1:16" x14ac:dyDescent="0.35">
      <c r="I70" s="217"/>
      <c r="J70" s="217"/>
      <c r="K70" s="217"/>
      <c r="L70" s="217"/>
      <c r="M70" s="217"/>
      <c r="N70" s="217"/>
      <c r="O70" s="106"/>
      <c r="P70" s="106"/>
    </row>
    <row r="71" spans="1:16" x14ac:dyDescent="0.35">
      <c r="I71" s="217"/>
      <c r="J71" s="217"/>
      <c r="K71" s="217"/>
      <c r="L71" s="217"/>
      <c r="M71" s="217"/>
      <c r="N71" s="217"/>
      <c r="O71" s="106"/>
      <c r="P71" s="106"/>
    </row>
    <row r="72" spans="1:16" x14ac:dyDescent="0.35">
      <c r="I72" s="217"/>
      <c r="J72" s="217"/>
      <c r="K72" s="217"/>
      <c r="L72" s="217"/>
      <c r="M72" s="217"/>
      <c r="N72" s="217"/>
      <c r="O72" s="106"/>
      <c r="P72" s="106"/>
    </row>
    <row r="73" spans="1:16" x14ac:dyDescent="0.35">
      <c r="I73" s="217"/>
      <c r="J73" s="217"/>
      <c r="K73" s="217"/>
      <c r="L73" s="217"/>
      <c r="M73" s="217"/>
      <c r="N73" s="217"/>
      <c r="O73" s="106"/>
      <c r="P73" s="106"/>
    </row>
    <row r="74" spans="1:16" x14ac:dyDescent="0.35">
      <c r="I74" s="217"/>
      <c r="J74" s="217"/>
      <c r="K74" s="217"/>
      <c r="L74" s="217"/>
      <c r="M74" s="217"/>
      <c r="N74" s="217"/>
      <c r="O74" s="106"/>
      <c r="P74" s="106"/>
    </row>
    <row r="75" spans="1:16" x14ac:dyDescent="0.35">
      <c r="I75" s="217"/>
      <c r="J75" s="217"/>
      <c r="K75" s="217"/>
      <c r="L75" s="217"/>
      <c r="M75" s="217"/>
      <c r="N75" s="217"/>
      <c r="O75" s="106"/>
      <c r="P75" s="106"/>
    </row>
    <row r="76" spans="1:16" x14ac:dyDescent="0.35">
      <c r="I76" s="217"/>
      <c r="J76" s="217"/>
      <c r="K76" s="217"/>
      <c r="L76" s="217"/>
      <c r="M76" s="217"/>
      <c r="N76" s="217"/>
      <c r="O76" s="106"/>
      <c r="P76" s="106"/>
    </row>
    <row r="77" spans="1:16" x14ac:dyDescent="0.35">
      <c r="I77" s="217"/>
      <c r="J77" s="217"/>
      <c r="K77" s="217"/>
      <c r="L77" s="217"/>
      <c r="M77" s="217"/>
      <c r="N77" s="217"/>
      <c r="O77" s="106"/>
      <c r="P77" s="106"/>
    </row>
    <row r="78" spans="1:16" x14ac:dyDescent="0.35">
      <c r="I78" s="217"/>
      <c r="J78" s="217"/>
      <c r="K78" s="217"/>
      <c r="L78" s="217"/>
      <c r="M78" s="217"/>
      <c r="N78" s="217"/>
      <c r="O78" s="106"/>
      <c r="P78" s="106"/>
    </row>
    <row r="79" spans="1:16" x14ac:dyDescent="0.35">
      <c r="I79" s="217"/>
      <c r="J79" s="217"/>
      <c r="K79" s="217"/>
      <c r="L79" s="217"/>
      <c r="M79" s="217"/>
      <c r="N79" s="217"/>
      <c r="O79" s="106"/>
      <c r="P79" s="106"/>
    </row>
    <row r="80" spans="1:16" x14ac:dyDescent="0.35">
      <c r="I80" s="217"/>
      <c r="J80" s="217"/>
      <c r="K80" s="217"/>
      <c r="L80" s="217"/>
      <c r="M80" s="217"/>
      <c r="N80" s="217"/>
      <c r="O80" s="106"/>
      <c r="P80" s="106"/>
    </row>
    <row r="81" spans="9:16" x14ac:dyDescent="0.35">
      <c r="I81" s="217"/>
      <c r="J81" s="217"/>
      <c r="K81" s="217"/>
      <c r="L81" s="217"/>
      <c r="M81" s="217"/>
      <c r="N81" s="217"/>
      <c r="O81" s="106"/>
      <c r="P81" s="106"/>
    </row>
    <row r="82" spans="9:16" x14ac:dyDescent="0.35">
      <c r="I82" s="217"/>
      <c r="J82" s="217"/>
      <c r="K82" s="217"/>
      <c r="L82" s="217"/>
      <c r="M82" s="217"/>
      <c r="N82" s="217"/>
      <c r="O82" s="106"/>
      <c r="P82" s="106"/>
    </row>
    <row r="83" spans="9:16" x14ac:dyDescent="0.35">
      <c r="I83" s="217"/>
      <c r="J83" s="217"/>
      <c r="K83" s="217"/>
      <c r="L83" s="217"/>
      <c r="M83" s="217"/>
      <c r="N83" s="217"/>
      <c r="O83" s="106"/>
      <c r="P83" s="106"/>
    </row>
    <row r="84" spans="9:16" x14ac:dyDescent="0.35">
      <c r="I84" s="217"/>
      <c r="J84" s="217"/>
      <c r="K84" s="217"/>
      <c r="L84" s="217"/>
      <c r="M84" s="217"/>
      <c r="N84" s="217"/>
      <c r="O84" s="106"/>
      <c r="P84" s="106"/>
    </row>
    <row r="85" spans="9:16" x14ac:dyDescent="0.35">
      <c r="I85" s="217"/>
      <c r="J85" s="217"/>
      <c r="K85" s="217"/>
      <c r="L85" s="217"/>
      <c r="M85" s="217"/>
      <c r="N85" s="217"/>
      <c r="O85" s="106"/>
      <c r="P85" s="106"/>
    </row>
    <row r="86" spans="9:16" x14ac:dyDescent="0.35">
      <c r="I86" s="217"/>
      <c r="J86" s="217"/>
      <c r="K86" s="217"/>
      <c r="L86" s="217"/>
      <c r="M86" s="217"/>
      <c r="N86" s="217"/>
      <c r="O86" s="106"/>
      <c r="P86" s="106"/>
    </row>
    <row r="87" spans="9:16" x14ac:dyDescent="0.35">
      <c r="I87" s="217"/>
      <c r="J87" s="217"/>
      <c r="K87" s="217"/>
      <c r="L87" s="217"/>
      <c r="M87" s="217"/>
      <c r="N87" s="217"/>
      <c r="O87" s="106"/>
      <c r="P87" s="106"/>
    </row>
    <row r="88" spans="9:16" x14ac:dyDescent="0.35">
      <c r="I88" s="217"/>
      <c r="J88" s="217"/>
      <c r="K88" s="217"/>
      <c r="L88" s="217"/>
      <c r="M88" s="217"/>
      <c r="N88" s="217"/>
      <c r="O88" s="106"/>
      <c r="P88" s="106"/>
    </row>
    <row r="89" spans="9:16" x14ac:dyDescent="0.35">
      <c r="I89" s="218"/>
      <c r="J89" s="218"/>
      <c r="K89" s="218"/>
      <c r="L89" s="218"/>
      <c r="M89" s="218"/>
      <c r="N89" s="219"/>
    </row>
    <row r="90" spans="9:16" x14ac:dyDescent="0.35">
      <c r="I90" s="218"/>
      <c r="J90" s="218"/>
      <c r="K90" s="218"/>
      <c r="L90" s="218"/>
      <c r="M90" s="218"/>
      <c r="N90" s="219"/>
    </row>
    <row r="91" spans="9:16" x14ac:dyDescent="0.35">
      <c r="I91" s="218"/>
      <c r="J91" s="218"/>
      <c r="K91" s="218"/>
      <c r="L91" s="218"/>
      <c r="M91" s="218"/>
      <c r="N91" s="219"/>
    </row>
    <row r="92" spans="9:16" x14ac:dyDescent="0.35">
      <c r="I92" s="218"/>
      <c r="J92" s="218"/>
      <c r="K92" s="218"/>
      <c r="L92" s="218"/>
      <c r="M92" s="218"/>
      <c r="N92" s="219"/>
    </row>
    <row r="93" spans="9:16" x14ac:dyDescent="0.35">
      <c r="I93" s="218"/>
      <c r="J93" s="218"/>
      <c r="K93" s="218"/>
      <c r="L93" s="218"/>
      <c r="M93" s="218"/>
      <c r="N93" s="219"/>
    </row>
    <row r="94" spans="9:16" x14ac:dyDescent="0.35">
      <c r="I94" s="218"/>
      <c r="J94" s="218"/>
      <c r="K94" s="218"/>
      <c r="L94" s="218"/>
      <c r="M94" s="218"/>
      <c r="N94" s="219"/>
    </row>
    <row r="95" spans="9:16" x14ac:dyDescent="0.35">
      <c r="I95" s="218"/>
      <c r="J95" s="218"/>
      <c r="K95" s="218"/>
      <c r="L95" s="218"/>
      <c r="M95" s="218"/>
      <c r="N95" s="219"/>
    </row>
    <row r="96" spans="9:16" x14ac:dyDescent="0.35">
      <c r="I96" s="218"/>
      <c r="J96" s="218"/>
      <c r="K96" s="218"/>
      <c r="L96" s="218"/>
      <c r="M96" s="218"/>
      <c r="N96" s="219"/>
    </row>
    <row r="97" spans="9:14" x14ac:dyDescent="0.35">
      <c r="I97" s="218"/>
      <c r="J97" s="218"/>
      <c r="K97" s="218"/>
      <c r="L97" s="218"/>
      <c r="M97" s="218"/>
      <c r="N97" s="219"/>
    </row>
    <row r="98" spans="9:14" x14ac:dyDescent="0.35">
      <c r="I98" s="218"/>
      <c r="J98" s="218"/>
      <c r="K98" s="218"/>
      <c r="L98" s="218"/>
      <c r="M98" s="218"/>
      <c r="N98" s="219"/>
    </row>
    <row r="99" spans="9:14" x14ac:dyDescent="0.35">
      <c r="I99" s="218"/>
      <c r="J99" s="218"/>
      <c r="K99" s="218"/>
      <c r="L99" s="218"/>
      <c r="M99" s="218"/>
      <c r="N99" s="219"/>
    </row>
    <row r="100" spans="9:14" x14ac:dyDescent="0.35">
      <c r="I100" s="218"/>
      <c r="J100" s="218"/>
      <c r="K100" s="218"/>
      <c r="L100" s="218"/>
      <c r="M100" s="218"/>
      <c r="N100" s="219"/>
    </row>
    <row r="101" spans="9:14" x14ac:dyDescent="0.35">
      <c r="I101" s="218"/>
      <c r="J101" s="218"/>
      <c r="K101" s="218"/>
      <c r="L101" s="218"/>
      <c r="M101" s="218"/>
      <c r="N101" s="219"/>
    </row>
    <row r="102" spans="9:14" x14ac:dyDescent="0.35">
      <c r="I102" s="218"/>
      <c r="J102" s="218"/>
      <c r="K102" s="218"/>
      <c r="L102" s="218"/>
      <c r="M102" s="218"/>
      <c r="N102" s="219"/>
    </row>
    <row r="103" spans="9:14" x14ac:dyDescent="0.35">
      <c r="I103" s="218"/>
      <c r="J103" s="218"/>
      <c r="K103" s="218"/>
      <c r="L103" s="218"/>
      <c r="M103" s="218"/>
      <c r="N103" s="219"/>
    </row>
    <row r="104" spans="9:14" x14ac:dyDescent="0.35">
      <c r="I104" s="218"/>
      <c r="J104" s="218"/>
      <c r="K104" s="218"/>
      <c r="L104" s="218"/>
      <c r="M104" s="218"/>
      <c r="N104" s="219"/>
    </row>
    <row r="105" spans="9:14" x14ac:dyDescent="0.35">
      <c r="I105" s="218"/>
      <c r="J105" s="218"/>
      <c r="K105" s="218"/>
      <c r="L105" s="218"/>
      <c r="M105" s="218"/>
      <c r="N105" s="219"/>
    </row>
    <row r="106" spans="9:14" x14ac:dyDescent="0.35">
      <c r="I106" s="218"/>
      <c r="J106" s="218"/>
      <c r="K106" s="218"/>
      <c r="L106" s="218"/>
      <c r="M106" s="218"/>
      <c r="N106" s="219"/>
    </row>
    <row r="107" spans="9:14" x14ac:dyDescent="0.35">
      <c r="I107" s="218"/>
      <c r="J107" s="218"/>
      <c r="K107" s="218"/>
      <c r="L107" s="218"/>
      <c r="M107" s="218"/>
      <c r="N107" s="219"/>
    </row>
    <row r="108" spans="9:14" x14ac:dyDescent="0.35">
      <c r="I108" s="218"/>
      <c r="J108" s="218"/>
      <c r="K108" s="218"/>
      <c r="L108" s="218"/>
      <c r="M108" s="218"/>
      <c r="N108" s="219"/>
    </row>
    <row r="109" spans="9:14" x14ac:dyDescent="0.35">
      <c r="I109" s="218"/>
      <c r="J109" s="218"/>
      <c r="K109" s="218"/>
      <c r="L109" s="218"/>
      <c r="M109" s="218"/>
      <c r="N109" s="219"/>
    </row>
    <row r="110" spans="9:14" x14ac:dyDescent="0.35">
      <c r="I110" s="218"/>
      <c r="J110" s="218"/>
      <c r="K110" s="218"/>
      <c r="L110" s="218"/>
      <c r="M110" s="218"/>
      <c r="N110" s="219"/>
    </row>
    <row r="111" spans="9:14" x14ac:dyDescent="0.35">
      <c r="I111" s="218"/>
      <c r="J111" s="218"/>
      <c r="K111" s="218"/>
      <c r="L111" s="218"/>
      <c r="M111" s="218"/>
      <c r="N111" s="219"/>
    </row>
    <row r="112" spans="9:14" x14ac:dyDescent="0.35">
      <c r="I112" s="218"/>
      <c r="J112" s="218"/>
      <c r="K112" s="218"/>
      <c r="L112" s="218"/>
      <c r="M112" s="218"/>
      <c r="N112" s="219"/>
    </row>
    <row r="113" spans="9:14" x14ac:dyDescent="0.35">
      <c r="I113" s="218"/>
      <c r="J113" s="218"/>
      <c r="K113" s="218"/>
      <c r="L113" s="218"/>
      <c r="M113" s="218"/>
      <c r="N113" s="219"/>
    </row>
    <row r="114" spans="9:14" x14ac:dyDescent="0.35">
      <c r="I114" s="218"/>
      <c r="J114" s="218"/>
      <c r="K114" s="218"/>
      <c r="L114" s="218"/>
      <c r="M114" s="218"/>
      <c r="N114" s="219"/>
    </row>
    <row r="115" spans="9:14" x14ac:dyDescent="0.35">
      <c r="I115" s="218"/>
      <c r="J115" s="218"/>
      <c r="K115" s="218"/>
      <c r="L115" s="218"/>
      <c r="M115" s="218"/>
      <c r="N115" s="219"/>
    </row>
    <row r="116" spans="9:14" x14ac:dyDescent="0.35">
      <c r="I116" s="218"/>
      <c r="J116" s="218"/>
      <c r="K116" s="218"/>
      <c r="L116" s="218"/>
      <c r="M116" s="218"/>
      <c r="N116" s="219"/>
    </row>
    <row r="117" spans="9:14" x14ac:dyDescent="0.35">
      <c r="I117" s="220"/>
      <c r="J117" s="220"/>
      <c r="K117" s="220"/>
      <c r="L117" s="220"/>
      <c r="M117" s="220"/>
      <c r="N117" s="219"/>
    </row>
    <row r="118" spans="9:14" x14ac:dyDescent="0.35">
      <c r="I118" s="220"/>
      <c r="J118" s="220"/>
      <c r="K118" s="220"/>
      <c r="L118" s="220"/>
      <c r="M118" s="220"/>
      <c r="N118" s="219"/>
    </row>
    <row r="119" spans="9:14" x14ac:dyDescent="0.35">
      <c r="I119" s="220"/>
      <c r="J119" s="220"/>
      <c r="K119" s="220"/>
      <c r="L119" s="220"/>
      <c r="M119" s="220"/>
      <c r="N119" s="219"/>
    </row>
    <row r="120" spans="9:14" x14ac:dyDescent="0.35">
      <c r="I120" s="220"/>
      <c r="J120" s="220"/>
      <c r="K120" s="220"/>
      <c r="L120" s="220"/>
      <c r="M120" s="220"/>
      <c r="N120" s="219"/>
    </row>
    <row r="121" spans="9:14" x14ac:dyDescent="0.35">
      <c r="I121" s="220"/>
      <c r="J121" s="220"/>
      <c r="K121" s="220"/>
      <c r="L121" s="220"/>
      <c r="M121" s="220"/>
      <c r="N121" s="219"/>
    </row>
    <row r="122" spans="9:14" x14ac:dyDescent="0.35">
      <c r="I122" s="220"/>
      <c r="J122" s="220"/>
      <c r="K122" s="220"/>
      <c r="L122" s="220"/>
      <c r="M122" s="220"/>
      <c r="N122" s="219"/>
    </row>
    <row r="123" spans="9:14" x14ac:dyDescent="0.35">
      <c r="I123" s="220"/>
      <c r="J123" s="220"/>
      <c r="K123" s="220"/>
      <c r="L123" s="220"/>
      <c r="M123" s="220"/>
      <c r="N123" s="219"/>
    </row>
    <row r="124" spans="9:14" x14ac:dyDescent="0.35">
      <c r="I124" s="220"/>
      <c r="J124" s="220"/>
      <c r="K124" s="220"/>
      <c r="L124" s="220"/>
      <c r="M124" s="220"/>
      <c r="N124" s="219"/>
    </row>
    <row r="125" spans="9:14" x14ac:dyDescent="0.35">
      <c r="I125" s="220"/>
      <c r="J125" s="220"/>
      <c r="K125" s="220"/>
      <c r="L125" s="220"/>
      <c r="M125" s="220"/>
      <c r="N125" s="219"/>
    </row>
    <row r="126" spans="9:14" x14ac:dyDescent="0.35">
      <c r="I126" s="220"/>
      <c r="J126" s="218"/>
      <c r="K126" s="218"/>
      <c r="L126" s="218"/>
      <c r="M126" s="218"/>
      <c r="N126" s="219"/>
    </row>
    <row r="127" spans="9:14" x14ac:dyDescent="0.35">
      <c r="I127" s="220"/>
      <c r="J127" s="218"/>
      <c r="K127" s="218"/>
      <c r="L127" s="218"/>
      <c r="M127" s="218"/>
      <c r="N127" s="219"/>
    </row>
    <row r="128" spans="9:14" x14ac:dyDescent="0.35">
      <c r="I128" s="220"/>
      <c r="J128" s="218"/>
      <c r="K128" s="218"/>
      <c r="L128" s="218"/>
      <c r="M128" s="218"/>
      <c r="N128" s="219"/>
    </row>
    <row r="129" spans="9:14" x14ac:dyDescent="0.35">
      <c r="I129" s="220"/>
      <c r="J129" s="218"/>
      <c r="K129" s="218"/>
      <c r="L129" s="218"/>
      <c r="M129" s="218"/>
      <c r="N129" s="219"/>
    </row>
    <row r="130" spans="9:14" x14ac:dyDescent="0.35">
      <c r="I130" s="220"/>
      <c r="J130" s="218"/>
      <c r="K130" s="218"/>
      <c r="L130" s="218"/>
      <c r="M130" s="218"/>
      <c r="N130" s="219"/>
    </row>
    <row r="131" spans="9:14" x14ac:dyDescent="0.35">
      <c r="I131" s="218"/>
      <c r="J131" s="218"/>
      <c r="K131" s="218"/>
      <c r="L131" s="218"/>
      <c r="M131" s="218"/>
      <c r="N131" s="219"/>
    </row>
    <row r="132" spans="9:14" x14ac:dyDescent="0.35">
      <c r="I132" s="218"/>
      <c r="J132" s="218"/>
      <c r="K132" s="218"/>
      <c r="L132" s="218"/>
      <c r="M132" s="218"/>
      <c r="N132" s="219"/>
    </row>
    <row r="133" spans="9:14" x14ac:dyDescent="0.35">
      <c r="I133" s="218"/>
      <c r="J133" s="218"/>
      <c r="K133" s="218"/>
      <c r="L133" s="218"/>
      <c r="M133" s="218"/>
      <c r="N133" s="219"/>
    </row>
    <row r="134" spans="9:14" x14ac:dyDescent="0.35">
      <c r="I134" s="218"/>
      <c r="J134" s="218"/>
      <c r="K134" s="218"/>
      <c r="L134" s="218"/>
      <c r="M134" s="218"/>
      <c r="N134" s="219"/>
    </row>
    <row r="135" spans="9:14" x14ac:dyDescent="0.35">
      <c r="I135" s="218"/>
      <c r="J135" s="218"/>
      <c r="K135" s="218"/>
      <c r="L135" s="218"/>
      <c r="M135" s="218"/>
      <c r="N135" s="219"/>
    </row>
    <row r="136" spans="9:14" x14ac:dyDescent="0.35">
      <c r="I136" s="218"/>
      <c r="J136" s="218"/>
      <c r="K136" s="218"/>
      <c r="L136" s="218"/>
      <c r="M136" s="218"/>
      <c r="N136" s="219"/>
    </row>
    <row r="137" spans="9:14" x14ac:dyDescent="0.35">
      <c r="I137" s="218"/>
      <c r="J137" s="218"/>
      <c r="K137" s="218"/>
      <c r="L137" s="218"/>
      <c r="M137" s="218"/>
      <c r="N137" s="219"/>
    </row>
    <row r="138" spans="9:14" x14ac:dyDescent="0.35">
      <c r="I138" s="218"/>
      <c r="J138" s="218"/>
      <c r="K138" s="218"/>
      <c r="L138" s="218"/>
      <c r="M138" s="218"/>
      <c r="N138" s="219"/>
    </row>
    <row r="139" spans="9:14" x14ac:dyDescent="0.35">
      <c r="I139" s="218"/>
      <c r="J139" s="218"/>
      <c r="K139" s="218"/>
      <c r="L139" s="218"/>
      <c r="M139" s="218"/>
      <c r="N139" s="219"/>
    </row>
    <row r="140" spans="9:14" x14ac:dyDescent="0.35">
      <c r="I140" s="218"/>
      <c r="J140" s="218"/>
      <c r="K140" s="218"/>
      <c r="L140" s="218"/>
      <c r="M140" s="218"/>
      <c r="N140" s="219"/>
    </row>
    <row r="141" spans="9:14" x14ac:dyDescent="0.35">
      <c r="I141" s="218"/>
      <c r="J141" s="218"/>
      <c r="K141" s="218"/>
      <c r="L141" s="218"/>
      <c r="M141" s="218"/>
      <c r="N141" s="219"/>
    </row>
    <row r="142" spans="9:14" x14ac:dyDescent="0.35">
      <c r="I142" s="218"/>
      <c r="J142" s="218"/>
      <c r="K142" s="218"/>
      <c r="L142" s="218"/>
      <c r="M142" s="218"/>
      <c r="N142" s="219"/>
    </row>
    <row r="143" spans="9:14" x14ac:dyDescent="0.35">
      <c r="I143" s="218"/>
      <c r="J143" s="218"/>
      <c r="K143" s="218"/>
      <c r="L143" s="218"/>
      <c r="M143" s="218"/>
      <c r="N143" s="219"/>
    </row>
    <row r="144" spans="9:14" x14ac:dyDescent="0.35">
      <c r="I144" s="218"/>
      <c r="J144" s="218"/>
      <c r="K144" s="218"/>
      <c r="L144" s="218"/>
      <c r="M144" s="218"/>
      <c r="N144" s="219"/>
    </row>
    <row r="145" spans="9:14" x14ac:dyDescent="0.35">
      <c r="I145" s="218"/>
      <c r="J145" s="218"/>
      <c r="K145" s="218"/>
      <c r="L145" s="218"/>
      <c r="M145" s="218"/>
      <c r="N145" s="219"/>
    </row>
    <row r="146" spans="9:14" x14ac:dyDescent="0.35">
      <c r="I146" s="218"/>
      <c r="J146" s="218"/>
      <c r="K146" s="218"/>
      <c r="L146" s="218"/>
      <c r="M146" s="218"/>
      <c r="N146" s="219"/>
    </row>
    <row r="147" spans="9:14" x14ac:dyDescent="0.35">
      <c r="I147" s="218"/>
      <c r="J147" s="218"/>
      <c r="K147" s="218"/>
      <c r="L147" s="218"/>
      <c r="M147" s="218"/>
      <c r="N147" s="219"/>
    </row>
    <row r="148" spans="9:14" x14ac:dyDescent="0.35">
      <c r="I148" s="218"/>
      <c r="J148" s="218"/>
      <c r="K148" s="218"/>
      <c r="L148" s="218"/>
      <c r="M148" s="218"/>
      <c r="N148" s="219"/>
    </row>
    <row r="149" spans="9:14" x14ac:dyDescent="0.35">
      <c r="I149" s="218"/>
      <c r="J149" s="218"/>
      <c r="K149" s="218"/>
      <c r="L149" s="218"/>
      <c r="M149" s="218"/>
      <c r="N149" s="219"/>
    </row>
    <row r="150" spans="9:14" x14ac:dyDescent="0.35">
      <c r="I150" s="218"/>
      <c r="J150" s="218"/>
      <c r="K150" s="218"/>
      <c r="L150" s="218"/>
      <c r="M150" s="218"/>
      <c r="N150" s="219"/>
    </row>
    <row r="151" spans="9:14" x14ac:dyDescent="0.35">
      <c r="I151" s="218"/>
      <c r="J151" s="218"/>
      <c r="K151" s="218"/>
      <c r="L151" s="218"/>
      <c r="M151" s="218"/>
      <c r="N151" s="219"/>
    </row>
    <row r="152" spans="9:14" x14ac:dyDescent="0.35">
      <c r="I152" s="218"/>
      <c r="J152" s="218"/>
      <c r="K152" s="218"/>
      <c r="L152" s="218"/>
      <c r="M152" s="218"/>
      <c r="N152" s="219"/>
    </row>
    <row r="153" spans="9:14" x14ac:dyDescent="0.35">
      <c r="I153" s="218"/>
      <c r="J153" s="218"/>
      <c r="K153" s="218"/>
      <c r="L153" s="218"/>
      <c r="M153" s="218"/>
      <c r="N153" s="219"/>
    </row>
    <row r="154" spans="9:14" x14ac:dyDescent="0.35">
      <c r="I154" s="218"/>
      <c r="J154" s="218"/>
      <c r="K154" s="218"/>
      <c r="L154" s="218"/>
      <c r="M154" s="218"/>
      <c r="N154" s="219"/>
    </row>
    <row r="155" spans="9:14" x14ac:dyDescent="0.35">
      <c r="I155" s="218"/>
      <c r="J155" s="218"/>
      <c r="K155" s="218"/>
      <c r="L155" s="218"/>
      <c r="M155" s="218"/>
      <c r="N155" s="219"/>
    </row>
    <row r="156" spans="9:14" x14ac:dyDescent="0.35">
      <c r="I156" s="218"/>
      <c r="J156" s="218"/>
      <c r="K156" s="218"/>
      <c r="L156" s="218"/>
      <c r="M156" s="218"/>
      <c r="N156" s="219"/>
    </row>
    <row r="157" spans="9:14" x14ac:dyDescent="0.35">
      <c r="I157" s="218"/>
      <c r="J157" s="218"/>
      <c r="K157" s="218"/>
      <c r="L157" s="218"/>
      <c r="M157" s="218"/>
      <c r="N157" s="219"/>
    </row>
    <row r="158" spans="9:14" x14ac:dyDescent="0.35">
      <c r="I158" s="218"/>
      <c r="J158" s="218"/>
      <c r="K158" s="218"/>
      <c r="L158" s="218"/>
      <c r="M158" s="218"/>
      <c r="N158" s="219"/>
    </row>
    <row r="159" spans="9:14" x14ac:dyDescent="0.35">
      <c r="I159" s="218"/>
      <c r="J159" s="218"/>
      <c r="K159" s="218"/>
      <c r="L159" s="218"/>
      <c r="M159" s="218"/>
      <c r="N159" s="219"/>
    </row>
    <row r="160" spans="9:14" x14ac:dyDescent="0.35">
      <c r="I160" s="218"/>
      <c r="J160" s="218"/>
      <c r="K160" s="218"/>
      <c r="L160" s="218"/>
      <c r="M160" s="218"/>
      <c r="N160" s="219"/>
    </row>
    <row r="161" spans="9:14" x14ac:dyDescent="0.35">
      <c r="I161" s="218"/>
      <c r="J161" s="218"/>
      <c r="K161" s="218"/>
      <c r="L161" s="218"/>
      <c r="M161" s="218"/>
      <c r="N161" s="219"/>
    </row>
    <row r="162" spans="9:14" x14ac:dyDescent="0.35">
      <c r="I162" s="218"/>
      <c r="J162" s="218"/>
      <c r="K162" s="218"/>
      <c r="L162" s="218"/>
      <c r="M162" s="218"/>
      <c r="N162" s="219"/>
    </row>
    <row r="163" spans="9:14" x14ac:dyDescent="0.35">
      <c r="I163" s="218"/>
      <c r="J163" s="218"/>
      <c r="K163" s="218"/>
      <c r="L163" s="218"/>
      <c r="M163" s="218"/>
      <c r="N163" s="219"/>
    </row>
    <row r="164" spans="9:14" x14ac:dyDescent="0.35">
      <c r="I164" s="218"/>
      <c r="J164" s="218"/>
      <c r="K164" s="218"/>
      <c r="L164" s="218"/>
      <c r="M164" s="218"/>
      <c r="N164" s="219"/>
    </row>
    <row r="165" spans="9:14" x14ac:dyDescent="0.35">
      <c r="I165" s="218"/>
      <c r="J165" s="218"/>
      <c r="K165" s="218"/>
      <c r="L165" s="218"/>
      <c r="M165" s="218"/>
      <c r="N165" s="219"/>
    </row>
    <row r="166" spans="9:14" x14ac:dyDescent="0.35">
      <c r="I166" s="218"/>
      <c r="J166" s="218"/>
      <c r="K166" s="218"/>
      <c r="L166" s="218"/>
      <c r="M166" s="218"/>
      <c r="N166" s="219"/>
    </row>
    <row r="167" spans="9:14" x14ac:dyDescent="0.35">
      <c r="I167" s="218"/>
      <c r="J167" s="218"/>
      <c r="K167" s="218"/>
      <c r="L167" s="218"/>
      <c r="M167" s="218"/>
      <c r="N167" s="219"/>
    </row>
    <row r="168" spans="9:14" x14ac:dyDescent="0.35">
      <c r="I168" s="218"/>
      <c r="J168" s="218"/>
      <c r="K168" s="218"/>
      <c r="L168" s="218"/>
      <c r="M168" s="218"/>
      <c r="N168" s="219"/>
    </row>
    <row r="169" spans="9:14" x14ac:dyDescent="0.35">
      <c r="I169" s="218"/>
      <c r="J169" s="218"/>
      <c r="K169" s="218"/>
      <c r="L169" s="218"/>
      <c r="M169" s="218"/>
      <c r="N169" s="219"/>
    </row>
    <row r="170" spans="9:14" x14ac:dyDescent="0.35">
      <c r="I170" s="218"/>
      <c r="J170" s="218"/>
      <c r="K170" s="218"/>
      <c r="L170" s="218"/>
      <c r="M170" s="218"/>
      <c r="N170" s="219"/>
    </row>
    <row r="171" spans="9:14" x14ac:dyDescent="0.35">
      <c r="I171" s="218"/>
      <c r="J171" s="218"/>
      <c r="K171" s="218"/>
      <c r="L171" s="218"/>
      <c r="M171" s="218"/>
      <c r="N171" s="219"/>
    </row>
    <row r="172" spans="9:14" x14ac:dyDescent="0.35">
      <c r="I172" s="218"/>
      <c r="J172" s="218"/>
      <c r="K172" s="218"/>
      <c r="L172" s="218"/>
      <c r="M172" s="218"/>
      <c r="N172" s="219"/>
    </row>
    <row r="173" spans="9:14" x14ac:dyDescent="0.35">
      <c r="I173" s="218"/>
      <c r="J173" s="218"/>
      <c r="K173" s="218"/>
      <c r="L173" s="218"/>
      <c r="M173" s="218"/>
      <c r="N173" s="219"/>
    </row>
    <row r="174" spans="9:14" x14ac:dyDescent="0.35">
      <c r="I174" s="218"/>
      <c r="J174" s="218"/>
      <c r="K174" s="218"/>
      <c r="L174" s="218"/>
      <c r="M174" s="218"/>
      <c r="N174" s="219"/>
    </row>
    <row r="175" spans="9:14" x14ac:dyDescent="0.35">
      <c r="I175" s="218"/>
      <c r="J175" s="218"/>
      <c r="K175" s="218"/>
      <c r="L175" s="218"/>
      <c r="M175" s="218"/>
      <c r="N175" s="219"/>
    </row>
    <row r="176" spans="9:14" x14ac:dyDescent="0.35">
      <c r="I176" s="218"/>
      <c r="J176" s="218"/>
      <c r="K176" s="218"/>
      <c r="L176" s="218"/>
      <c r="M176" s="218"/>
      <c r="N176" s="219"/>
    </row>
    <row r="177" spans="9:14" x14ac:dyDescent="0.35">
      <c r="I177" s="218"/>
      <c r="J177" s="218"/>
      <c r="K177" s="218"/>
      <c r="L177" s="218"/>
      <c r="M177" s="218"/>
      <c r="N177" s="219"/>
    </row>
    <row r="178" spans="9:14" x14ac:dyDescent="0.35">
      <c r="I178" s="218"/>
      <c r="J178" s="218"/>
      <c r="K178" s="218"/>
      <c r="L178" s="218"/>
      <c r="M178" s="218"/>
      <c r="N178" s="219"/>
    </row>
    <row r="179" spans="9:14" x14ac:dyDescent="0.35">
      <c r="I179" s="218"/>
      <c r="J179" s="218"/>
      <c r="K179" s="218"/>
      <c r="L179" s="218"/>
      <c r="M179" s="218"/>
      <c r="N179" s="219"/>
    </row>
    <row r="180" spans="9:14" x14ac:dyDescent="0.35">
      <c r="I180" s="218"/>
      <c r="J180" s="218"/>
      <c r="K180" s="218"/>
      <c r="L180" s="218"/>
      <c r="M180" s="218"/>
      <c r="N180" s="219"/>
    </row>
    <row r="181" spans="9:14" x14ac:dyDescent="0.35">
      <c r="I181" s="218"/>
      <c r="J181" s="218"/>
      <c r="K181" s="218"/>
      <c r="L181" s="218"/>
      <c r="M181" s="218"/>
      <c r="N181" s="219"/>
    </row>
    <row r="182" spans="9:14" x14ac:dyDescent="0.35">
      <c r="I182" s="218"/>
      <c r="J182" s="218"/>
      <c r="K182" s="218"/>
      <c r="L182" s="218"/>
      <c r="M182" s="218"/>
      <c r="N182" s="219"/>
    </row>
    <row r="183" spans="9:14" x14ac:dyDescent="0.35">
      <c r="I183" s="218"/>
      <c r="J183" s="218"/>
      <c r="K183" s="218"/>
      <c r="L183" s="218"/>
      <c r="M183" s="218"/>
      <c r="N183" s="219"/>
    </row>
    <row r="184" spans="9:14" x14ac:dyDescent="0.35">
      <c r="I184" s="218"/>
      <c r="J184" s="218"/>
      <c r="K184" s="218"/>
      <c r="L184" s="218"/>
      <c r="M184" s="218"/>
      <c r="N184" s="219"/>
    </row>
    <row r="185" spans="9:14" x14ac:dyDescent="0.35">
      <c r="I185" s="218"/>
      <c r="J185" s="218"/>
      <c r="K185" s="218"/>
      <c r="L185" s="218"/>
      <c r="M185" s="218"/>
      <c r="N185" s="219"/>
    </row>
    <row r="186" spans="9:14" x14ac:dyDescent="0.35">
      <c r="I186" s="218"/>
      <c r="J186" s="218"/>
      <c r="K186" s="218"/>
      <c r="L186" s="218"/>
      <c r="M186" s="218"/>
      <c r="N186" s="219"/>
    </row>
    <row r="187" spans="9:14" x14ac:dyDescent="0.35">
      <c r="I187" s="218"/>
      <c r="J187" s="218"/>
      <c r="K187" s="218"/>
      <c r="L187" s="218"/>
      <c r="M187" s="218"/>
      <c r="N187" s="219"/>
    </row>
    <row r="188" spans="9:14" x14ac:dyDescent="0.35">
      <c r="I188" s="218"/>
      <c r="J188" s="218"/>
      <c r="K188" s="218"/>
      <c r="L188" s="218"/>
      <c r="M188" s="218"/>
      <c r="N188" s="219"/>
    </row>
    <row r="189" spans="9:14" x14ac:dyDescent="0.35">
      <c r="I189" s="218"/>
      <c r="J189" s="218"/>
      <c r="K189" s="218"/>
      <c r="L189" s="218"/>
      <c r="M189" s="218"/>
      <c r="N189" s="219"/>
    </row>
    <row r="190" spans="9:14" x14ac:dyDescent="0.35">
      <c r="I190" s="218"/>
      <c r="J190" s="218"/>
      <c r="K190" s="218"/>
      <c r="L190" s="218"/>
      <c r="M190" s="218"/>
      <c r="N190" s="219"/>
    </row>
    <row r="191" spans="9:14" x14ac:dyDescent="0.35">
      <c r="I191" s="218"/>
      <c r="J191" s="218"/>
      <c r="K191" s="218"/>
      <c r="L191" s="218"/>
      <c r="M191" s="218"/>
      <c r="N191" s="219"/>
    </row>
    <row r="192" spans="9:14" x14ac:dyDescent="0.35">
      <c r="I192" s="218"/>
      <c r="J192" s="218"/>
      <c r="K192" s="218"/>
      <c r="L192" s="218"/>
      <c r="M192" s="218"/>
      <c r="N192" s="219"/>
    </row>
    <row r="193" spans="9:14" x14ac:dyDescent="0.35">
      <c r="I193" s="218"/>
      <c r="J193" s="218"/>
      <c r="K193" s="218"/>
      <c r="L193" s="218"/>
      <c r="M193" s="218"/>
      <c r="N193" s="219"/>
    </row>
    <row r="194" spans="9:14" x14ac:dyDescent="0.35">
      <c r="I194" s="218"/>
      <c r="J194" s="218"/>
      <c r="K194" s="218"/>
      <c r="L194" s="218"/>
      <c r="M194" s="218"/>
      <c r="N194" s="219"/>
    </row>
    <row r="195" spans="9:14" x14ac:dyDescent="0.35">
      <c r="I195" s="218"/>
      <c r="J195" s="218"/>
      <c r="K195" s="218"/>
      <c r="L195" s="218"/>
      <c r="M195" s="218"/>
      <c r="N195" s="219"/>
    </row>
    <row r="196" spans="9:14" x14ac:dyDescent="0.35">
      <c r="I196" s="218"/>
      <c r="J196" s="218"/>
      <c r="K196" s="218"/>
      <c r="L196" s="218"/>
      <c r="M196" s="218"/>
      <c r="N196" s="219"/>
    </row>
    <row r="197" spans="9:14" x14ac:dyDescent="0.35">
      <c r="I197" s="218"/>
      <c r="J197" s="218"/>
      <c r="K197" s="218"/>
      <c r="L197" s="218"/>
      <c r="M197" s="218"/>
      <c r="N197" s="219"/>
    </row>
    <row r="198" spans="9:14" x14ac:dyDescent="0.35">
      <c r="I198" s="218"/>
      <c r="J198" s="218"/>
      <c r="K198" s="218"/>
      <c r="L198" s="218"/>
      <c r="M198" s="218"/>
      <c r="N198" s="219"/>
    </row>
    <row r="199" spans="9:14" x14ac:dyDescent="0.35">
      <c r="I199" s="218"/>
      <c r="J199" s="218"/>
      <c r="K199" s="218"/>
      <c r="L199" s="218"/>
      <c r="M199" s="218"/>
      <c r="N199" s="219"/>
    </row>
    <row r="200" spans="9:14" x14ac:dyDescent="0.35">
      <c r="I200" s="218"/>
      <c r="J200" s="218"/>
      <c r="K200" s="218"/>
      <c r="L200" s="218"/>
      <c r="M200" s="218"/>
      <c r="N200" s="219"/>
    </row>
  </sheetData>
  <mergeCells count="1">
    <mergeCell ref="A4:A5"/>
  </mergeCells>
  <phoneticPr fontId="12" type="noConversion"/>
  <conditionalFormatting sqref="E1:G2 E6:G7 G5 A4 E117:G1048576">
    <cfRule type="cellIs" dxfId="16" priority="560" operator="equal">
      <formula>"??"</formula>
    </cfRule>
  </conditionalFormatting>
  <conditionalFormatting sqref="I8:M8">
    <cfRule type="cellIs" dxfId="15" priority="506" operator="greaterThan">
      <formula>45</formula>
    </cfRule>
    <cfRule type="cellIs" dxfId="14" priority="507" operator="lessThan">
      <formula>20</formula>
    </cfRule>
    <cfRule type="cellIs" dxfId="13" priority="508" operator="greaterThan">
      <formula>30</formula>
    </cfRule>
  </conditionalFormatting>
  <conditionalFormatting sqref="F8:G8">
    <cfRule type="cellIs" dxfId="12" priority="466" operator="equal">
      <formula>"??"</formula>
    </cfRule>
  </conditionalFormatting>
  <conditionalFormatting sqref="E8">
    <cfRule type="cellIs" dxfId="11" priority="465" operator="equal">
      <formula>"??"</formula>
    </cfRule>
  </conditionalFormatting>
  <conditionalFormatting sqref="E9">
    <cfRule type="cellIs" dxfId="9" priority="5" operator="equal">
      <formula>"??"</formula>
    </cfRule>
  </conditionalFormatting>
  <conditionalFormatting sqref="G9:G28">
    <cfRule type="cellIs" dxfId="8" priority="4" operator="equal">
      <formula>"??"</formula>
    </cfRule>
  </conditionalFormatting>
  <conditionalFormatting sqref="F9:F26">
    <cfRule type="cellIs" dxfId="7" priority="3" operator="equal">
      <formula>"??"</formula>
    </cfRule>
  </conditionalFormatting>
  <conditionalFormatting sqref="E10:E11">
    <cfRule type="cellIs" dxfId="4" priority="2" operator="equal">
      <formula>"??"</formula>
    </cfRule>
  </conditionalFormatting>
  <conditionalFormatting sqref="E12">
    <cfRule type="cellIs" dxfId="3" priority="1" operator="equal">
      <formula>"??"</formula>
    </cfRule>
  </conditionalFormatting>
  <dataValidations count="2">
    <dataValidation type="list" allowBlank="1" showInputMessage="1" showErrorMessage="1" sqref="C13:C26" xr:uid="{929E184E-FFA1-401C-83C4-C527A6580AAB}">
      <formula1>"""Goal"",""Milestone"", ""Main Task"", ""Task"""</formula1>
    </dataValidation>
    <dataValidation type="list" allowBlank="1" showInputMessage="1" showErrorMessage="1" sqref="C9:C12" xr:uid="{29151E6C-1065-44EB-B0B3-BA27B899D07A}">
      <formula1>"Goal,Milestone, Main Task, Task"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2063F-6811-406C-A370-9ABF2B726946}">
  <sheetPr codeName="Sheet5"/>
  <dimension ref="A1:S77"/>
  <sheetViews>
    <sheetView zoomScale="70" zoomScaleNormal="70" workbookViewId="0">
      <selection activeCell="E4" sqref="E4"/>
    </sheetView>
  </sheetViews>
  <sheetFormatPr defaultRowHeight="21" x14ac:dyDescent="0.35"/>
  <cols>
    <col min="1" max="1" width="13.90625" customWidth="1"/>
  </cols>
  <sheetData>
    <row r="1" spans="1:15" s="16" customFormat="1" ht="23.65" customHeight="1" thickTop="1" x14ac:dyDescent="0.35">
      <c r="A1" s="138" t="s">
        <v>76</v>
      </c>
      <c r="B1" s="139"/>
      <c r="C1" s="140"/>
      <c r="D1" s="141"/>
      <c r="E1" s="142">
        <f>SUM(E2:E17)</f>
        <v>0.64583333333333326</v>
      </c>
      <c r="F1" s="143"/>
      <c r="G1" s="143"/>
      <c r="H1" s="68"/>
      <c r="I1" s="126"/>
      <c r="J1" s="126"/>
      <c r="K1" s="126"/>
      <c r="L1" s="126"/>
      <c r="M1" s="126"/>
      <c r="N1" s="126"/>
      <c r="O1" s="126"/>
    </row>
    <row r="2" spans="1:15" s="16" customFormat="1" ht="23.65" customHeight="1" x14ac:dyDescent="0.35">
      <c r="A2" s="137" t="s">
        <v>77</v>
      </c>
      <c r="B2" s="90"/>
      <c r="C2" s="113"/>
      <c r="D2" s="107"/>
      <c r="E2" s="18">
        <v>0.16666666666666666</v>
      </c>
      <c r="F2" s="101"/>
      <c r="G2" s="19"/>
      <c r="H2" s="68"/>
      <c r="I2" s="144"/>
      <c r="J2" s="144"/>
      <c r="K2" s="126"/>
      <c r="L2" s="126"/>
      <c r="M2" s="126"/>
      <c r="N2" s="126"/>
      <c r="O2" s="126"/>
    </row>
    <row r="3" spans="1:15" s="16" customFormat="1" ht="23.65" customHeight="1" x14ac:dyDescent="0.35">
      <c r="A3" s="137" t="s">
        <v>78</v>
      </c>
      <c r="B3" s="90"/>
      <c r="C3" s="113"/>
      <c r="D3" s="107"/>
      <c r="E3" s="18">
        <v>0.25</v>
      </c>
      <c r="F3" s="19"/>
      <c r="G3" s="19"/>
      <c r="H3" s="68"/>
      <c r="I3" s="144"/>
      <c r="J3" s="144"/>
      <c r="K3" s="126"/>
      <c r="L3" s="126"/>
      <c r="M3" s="126"/>
      <c r="N3" s="126"/>
      <c r="O3" s="126"/>
    </row>
    <row r="4" spans="1:15" s="16" customFormat="1" ht="23.65" customHeight="1" x14ac:dyDescent="0.35">
      <c r="A4" s="137" t="s">
        <v>79</v>
      </c>
      <c r="B4" s="90"/>
      <c r="C4" s="113"/>
      <c r="D4" s="107"/>
      <c r="E4" s="18">
        <v>0.22916666666666666</v>
      </c>
      <c r="F4" s="19"/>
      <c r="G4" s="19"/>
      <c r="H4" s="68"/>
      <c r="I4" s="144"/>
      <c r="J4" s="144"/>
      <c r="K4" s="126"/>
      <c r="L4" s="126"/>
      <c r="M4" s="126"/>
      <c r="N4" s="126"/>
      <c r="O4" s="126"/>
    </row>
    <row r="5" spans="1:15" s="16" customFormat="1" ht="23.65" customHeight="1" x14ac:dyDescent="0.35">
      <c r="A5" s="137"/>
      <c r="B5" s="90"/>
      <c r="C5" s="113"/>
      <c r="D5" s="107"/>
      <c r="E5" s="18"/>
      <c r="F5" s="19"/>
      <c r="G5" s="19"/>
      <c r="H5" s="68"/>
      <c r="I5" s="144"/>
      <c r="J5" s="144"/>
      <c r="K5" s="126"/>
      <c r="L5" s="126"/>
      <c r="M5" s="126"/>
      <c r="N5" s="126"/>
      <c r="O5" s="126"/>
    </row>
    <row r="6" spans="1:15" s="16" customFormat="1" ht="23.65" customHeight="1" x14ac:dyDescent="0.35">
      <c r="A6" s="137"/>
      <c r="B6" s="90"/>
      <c r="C6" s="113"/>
      <c r="D6" s="107"/>
      <c r="E6" s="18"/>
      <c r="F6" s="19"/>
      <c r="G6" s="19"/>
      <c r="H6" s="68"/>
      <c r="I6" s="144"/>
      <c r="J6" s="144"/>
      <c r="K6" s="126"/>
      <c r="L6" s="126"/>
      <c r="M6" s="126"/>
      <c r="N6" s="126"/>
      <c r="O6" s="126"/>
    </row>
    <row r="7" spans="1:15" s="16" customFormat="1" ht="23.65" customHeight="1" x14ac:dyDescent="0.35">
      <c r="A7" s="137"/>
      <c r="B7" s="90"/>
      <c r="C7" s="113"/>
      <c r="D7" s="107"/>
      <c r="E7" s="18"/>
      <c r="F7" s="19"/>
      <c r="G7" s="19"/>
      <c r="H7" s="68"/>
      <c r="I7" s="144"/>
      <c r="J7" s="144"/>
      <c r="K7" s="126"/>
      <c r="L7" s="126"/>
      <c r="M7" s="126"/>
      <c r="N7" s="126"/>
      <c r="O7" s="126"/>
    </row>
    <row r="8" spans="1:15" s="16" customFormat="1" ht="23.65" customHeight="1" x14ac:dyDescent="0.35">
      <c r="A8" s="137"/>
      <c r="B8" s="90"/>
      <c r="C8" s="113"/>
      <c r="D8" s="107"/>
      <c r="E8" s="18"/>
      <c r="F8" s="19"/>
      <c r="G8" s="19"/>
      <c r="H8" s="68"/>
      <c r="I8" s="144"/>
      <c r="J8" s="144"/>
      <c r="K8" s="126"/>
      <c r="L8" s="126"/>
      <c r="M8" s="126"/>
      <c r="N8" s="126"/>
      <c r="O8" s="126"/>
    </row>
    <row r="9" spans="1:15" s="16" customFormat="1" ht="23.65" customHeight="1" x14ac:dyDescent="0.35">
      <c r="A9" s="137"/>
      <c r="B9" s="90"/>
      <c r="C9" s="113"/>
      <c r="D9" s="107"/>
      <c r="E9" s="18"/>
      <c r="F9" s="19"/>
      <c r="G9" s="19"/>
      <c r="H9" s="68"/>
      <c r="I9" s="144"/>
      <c r="J9" s="144"/>
      <c r="K9" s="126"/>
      <c r="L9" s="126"/>
      <c r="M9" s="126"/>
      <c r="N9" s="126"/>
      <c r="O9" s="126"/>
    </row>
    <row r="10" spans="1:15" s="16" customFormat="1" ht="23.65" customHeight="1" x14ac:dyDescent="0.35">
      <c r="A10" s="137"/>
      <c r="B10" s="90"/>
      <c r="C10" s="113"/>
      <c r="D10" s="107"/>
      <c r="E10" s="18"/>
      <c r="F10" s="19"/>
      <c r="G10" s="19"/>
      <c r="H10" s="68"/>
      <c r="I10" s="144"/>
      <c r="J10" s="144"/>
      <c r="K10" s="126"/>
      <c r="L10" s="126"/>
      <c r="M10" s="126"/>
      <c r="N10" s="126"/>
      <c r="O10" s="126"/>
    </row>
    <row r="11" spans="1:15" s="16" customFormat="1" ht="23.65" customHeight="1" x14ac:dyDescent="0.35">
      <c r="A11" s="137"/>
      <c r="B11" s="90"/>
      <c r="C11" s="113"/>
      <c r="D11" s="107"/>
      <c r="E11" s="18"/>
      <c r="F11" s="19"/>
      <c r="G11" s="19"/>
      <c r="H11" s="68"/>
      <c r="I11" s="144"/>
      <c r="J11" s="144"/>
      <c r="K11" s="126"/>
      <c r="L11" s="126"/>
      <c r="M11" s="126"/>
      <c r="N11" s="126"/>
      <c r="O11" s="126"/>
    </row>
    <row r="12" spans="1:15" s="16" customFormat="1" ht="23.65" customHeight="1" x14ac:dyDescent="0.35">
      <c r="A12" s="17"/>
      <c r="B12" s="90"/>
      <c r="C12" s="113"/>
      <c r="D12" s="107"/>
      <c r="E12" s="18"/>
      <c r="F12" s="19"/>
      <c r="G12" s="19"/>
      <c r="H12" s="68"/>
      <c r="I12" s="144"/>
      <c r="J12" s="144"/>
      <c r="K12" s="126"/>
      <c r="L12" s="126"/>
      <c r="M12" s="126"/>
      <c r="N12" s="126"/>
      <c r="O12" s="126"/>
    </row>
    <row r="13" spans="1:15" s="16" customFormat="1" ht="23.65" customHeight="1" x14ac:dyDescent="0.35">
      <c r="A13" s="17"/>
      <c r="B13" s="90"/>
      <c r="C13" s="113"/>
      <c r="D13" s="107"/>
      <c r="E13" s="18"/>
      <c r="F13" s="19"/>
      <c r="G13" s="19"/>
      <c r="H13" s="68"/>
      <c r="I13" s="144"/>
      <c r="J13" s="144"/>
      <c r="K13" s="126"/>
      <c r="L13" s="126"/>
      <c r="M13" s="126"/>
      <c r="N13" s="126"/>
      <c r="O13" s="126"/>
    </row>
    <row r="14" spans="1:15" s="16" customFormat="1" ht="23.65" customHeight="1" x14ac:dyDescent="0.35">
      <c r="A14" s="17"/>
      <c r="B14" s="90"/>
      <c r="C14" s="113"/>
      <c r="D14" s="107"/>
      <c r="E14" s="18"/>
      <c r="F14" s="19"/>
      <c r="G14" s="19"/>
      <c r="H14" s="68"/>
      <c r="I14" s="144"/>
      <c r="J14" s="144"/>
      <c r="K14" s="126"/>
      <c r="L14" s="126"/>
      <c r="M14" s="126"/>
      <c r="N14" s="126"/>
      <c r="O14" s="126"/>
    </row>
    <row r="15" spans="1:15" s="16" customFormat="1" ht="23.65" customHeight="1" x14ac:dyDescent="0.35">
      <c r="A15" s="17"/>
      <c r="B15" s="90"/>
      <c r="C15" s="113"/>
      <c r="D15" s="107"/>
      <c r="E15" s="18"/>
      <c r="F15" s="19"/>
      <c r="G15" s="19"/>
      <c r="H15" s="68"/>
      <c r="I15" s="144"/>
      <c r="J15" s="144"/>
      <c r="K15" s="126"/>
      <c r="L15" s="126"/>
      <c r="M15" s="126"/>
      <c r="N15" s="126"/>
      <c r="O15" s="126"/>
    </row>
    <row r="16" spans="1:15" s="16" customFormat="1" ht="23.65" customHeight="1" x14ac:dyDescent="0.35">
      <c r="A16" s="17"/>
      <c r="B16" s="90"/>
      <c r="C16" s="113"/>
      <c r="D16" s="107"/>
      <c r="E16" s="18"/>
      <c r="F16" s="19"/>
      <c r="G16" s="19"/>
      <c r="H16" s="68"/>
      <c r="I16" s="144"/>
      <c r="J16" s="144"/>
      <c r="K16" s="126"/>
      <c r="L16" s="126"/>
      <c r="M16" s="126"/>
      <c r="N16" s="126"/>
      <c r="O16" s="126"/>
    </row>
    <row r="17" spans="1:19" s="16" customFormat="1" ht="23.65" customHeight="1" x14ac:dyDescent="0.35">
      <c r="A17" s="17"/>
      <c r="B17" s="90"/>
      <c r="C17" s="113"/>
      <c r="D17" s="107"/>
      <c r="E17" s="18"/>
      <c r="F17" s="19"/>
      <c r="G17" s="19"/>
      <c r="H17" s="68"/>
      <c r="I17" s="144"/>
      <c r="J17" s="144"/>
      <c r="K17" s="126"/>
      <c r="L17" s="126"/>
      <c r="M17" s="126"/>
      <c r="N17" s="126"/>
      <c r="O17" s="126"/>
    </row>
    <row r="18" spans="1:19" s="16" customFormat="1" ht="23.65" customHeight="1" collapsed="1" x14ac:dyDescent="0.35">
      <c r="A18"/>
      <c r="B18"/>
      <c r="C18"/>
      <c r="D18"/>
      <c r="E18"/>
      <c r="F18"/>
      <c r="G18"/>
      <c r="H18" s="68"/>
      <c r="I18" s="144"/>
      <c r="J18" s="144"/>
      <c r="K18" s="126"/>
      <c r="L18" s="126"/>
      <c r="M18" s="126"/>
      <c r="N18" s="126"/>
      <c r="O18" s="126"/>
    </row>
    <row r="19" spans="1:19" s="16" customFormat="1" ht="23.65" customHeight="1" x14ac:dyDescent="0.35">
      <c r="A19"/>
      <c r="B19"/>
      <c r="C19"/>
      <c r="D19"/>
      <c r="E19"/>
      <c r="F19"/>
      <c r="G19"/>
      <c r="H19" s="68"/>
      <c r="I19" s="144"/>
      <c r="J19" s="144"/>
      <c r="K19" s="126"/>
      <c r="L19" s="126"/>
      <c r="M19" s="126"/>
      <c r="N19" s="126"/>
      <c r="O19" s="126"/>
    </row>
    <row r="20" spans="1:19" s="16" customFormat="1" ht="23.65" customHeight="1" x14ac:dyDescent="0.35">
      <c r="A20"/>
      <c r="B20"/>
      <c r="C20"/>
      <c r="D20"/>
      <c r="E20"/>
      <c r="F20"/>
      <c r="G20"/>
      <c r="H20" s="68"/>
      <c r="I20" s="144"/>
      <c r="J20" s="144"/>
      <c r="K20" s="126"/>
      <c r="L20" s="126"/>
      <c r="M20" s="126"/>
      <c r="N20" s="126"/>
      <c r="O20" s="126"/>
    </row>
    <row r="21" spans="1:19" s="16" customFormat="1" ht="23.65" customHeight="1" x14ac:dyDescent="0.35">
      <c r="A21"/>
      <c r="B21"/>
      <c r="C21"/>
      <c r="D21"/>
      <c r="E21"/>
      <c r="F21"/>
      <c r="G21"/>
      <c r="H21" s="68"/>
      <c r="I21" s="144"/>
      <c r="J21" s="144"/>
      <c r="K21" s="126"/>
      <c r="L21" s="126"/>
      <c r="M21" s="126"/>
      <c r="N21" s="126"/>
      <c r="O21" s="126"/>
    </row>
    <row r="22" spans="1:19" s="16" customFormat="1" ht="23.65" customHeight="1" x14ac:dyDescent="0.35">
      <c r="A22"/>
      <c r="B22"/>
      <c r="C22"/>
      <c r="D22"/>
      <c r="E22"/>
      <c r="F22"/>
      <c r="G22"/>
      <c r="H22" s="68"/>
      <c r="I22" s="144"/>
      <c r="J22" s="144"/>
      <c r="K22" s="126"/>
      <c r="L22" s="126"/>
      <c r="M22" s="126"/>
      <c r="N22" s="126"/>
      <c r="O22" s="126"/>
    </row>
    <row r="23" spans="1:19" s="16" customFormat="1" ht="23.65" customHeight="1" x14ac:dyDescent="0.35">
      <c r="A23"/>
      <c r="B23"/>
      <c r="C23"/>
      <c r="D23"/>
      <c r="E23"/>
      <c r="F23"/>
      <c r="G23"/>
      <c r="H23" s="68"/>
      <c r="I23" s="144"/>
      <c r="J23" s="144"/>
      <c r="K23" s="126"/>
      <c r="L23" s="126"/>
      <c r="M23" s="126"/>
      <c r="N23" s="126"/>
      <c r="O23" s="126"/>
    </row>
    <row r="24" spans="1:19" s="16" customFormat="1" ht="23.65" customHeight="1" x14ac:dyDescent="0.35">
      <c r="A24"/>
      <c r="B24"/>
      <c r="C24"/>
      <c r="D24"/>
      <c r="E24"/>
      <c r="F24"/>
      <c r="G24"/>
      <c r="H24" s="68"/>
      <c r="I24" s="144"/>
      <c r="J24" s="144"/>
      <c r="K24" s="126"/>
      <c r="L24" s="126"/>
      <c r="M24" s="126"/>
      <c r="N24" s="126"/>
      <c r="O24" s="126"/>
    </row>
    <row r="25" spans="1:19" s="16" customFormat="1" ht="23.65" customHeight="1" x14ac:dyDescent="0.35">
      <c r="A25"/>
      <c r="B25"/>
      <c r="C25"/>
      <c r="D25"/>
      <c r="E25"/>
      <c r="F25"/>
      <c r="G25"/>
      <c r="H25" s="68"/>
      <c r="I25" s="144"/>
      <c r="J25" s="144"/>
      <c r="K25" s="126"/>
      <c r="L25" s="126"/>
      <c r="M25" s="126"/>
      <c r="N25" s="126"/>
      <c r="O25" s="126"/>
    </row>
    <row r="26" spans="1:19" s="16" customFormat="1" ht="23.65" customHeight="1" x14ac:dyDescent="0.35">
      <c r="A26"/>
      <c r="B26"/>
      <c r="C26"/>
      <c r="D26"/>
      <c r="E26"/>
      <c r="F26"/>
      <c r="G26"/>
      <c r="H26" s="68"/>
      <c r="I26" s="144"/>
      <c r="J26" s="144"/>
      <c r="K26" s="126"/>
      <c r="L26" s="126"/>
      <c r="M26" s="126"/>
      <c r="N26" s="126"/>
      <c r="O26" s="126"/>
    </row>
    <row r="27" spans="1:19" s="16" customFormat="1" ht="23.45" customHeight="1" collapsed="1" x14ac:dyDescent="0.35">
      <c r="A27"/>
      <c r="B27"/>
      <c r="C27"/>
      <c r="D27"/>
      <c r="E27"/>
      <c r="F27"/>
      <c r="G27"/>
      <c r="H27" s="68"/>
      <c r="I27" s="144"/>
      <c r="J27" s="144"/>
      <c r="K27" s="126"/>
      <c r="L27" s="126"/>
      <c r="M27" s="126"/>
      <c r="N27" s="126"/>
      <c r="O27" s="126"/>
    </row>
    <row r="28" spans="1:19" s="16" customFormat="1" ht="23.45" customHeight="1" x14ac:dyDescent="0.35">
      <c r="A28"/>
      <c r="B28"/>
      <c r="C28"/>
      <c r="D28"/>
      <c r="E28"/>
      <c r="F28"/>
      <c r="G28"/>
      <c r="H28" s="68"/>
      <c r="I28" s="144"/>
      <c r="J28" s="144"/>
      <c r="K28" s="126"/>
      <c r="L28" s="126"/>
      <c r="M28" s="126"/>
      <c r="N28" s="126"/>
      <c r="O28" s="126"/>
    </row>
    <row r="29" spans="1:19" s="16" customFormat="1" x14ac:dyDescent="0.35">
      <c r="A29"/>
      <c r="B29"/>
      <c r="C29"/>
      <c r="D29"/>
      <c r="E29"/>
      <c r="F29"/>
      <c r="G29"/>
      <c r="H29" s="68"/>
      <c r="I29" s="144"/>
      <c r="J29" s="144"/>
      <c r="K29" s="126"/>
      <c r="L29" s="126"/>
      <c r="M29" s="126"/>
      <c r="N29" s="126"/>
      <c r="O29" s="126"/>
      <c r="P29" s="126"/>
      <c r="Q29" s="126"/>
      <c r="R29" s="126"/>
      <c r="S29" s="126"/>
    </row>
    <row r="30" spans="1:19" s="16" customFormat="1" x14ac:dyDescent="0.35">
      <c r="A30"/>
      <c r="B30"/>
      <c r="C30"/>
      <c r="D30"/>
      <c r="E30"/>
      <c r="F30"/>
      <c r="G30"/>
      <c r="H30" s="68"/>
      <c r="I30" s="144"/>
      <c r="J30" s="144"/>
      <c r="K30" s="126"/>
      <c r="L30" s="126"/>
      <c r="M30" s="126"/>
      <c r="N30" s="126"/>
      <c r="O30" s="126"/>
      <c r="P30" s="126"/>
      <c r="Q30" s="126"/>
      <c r="R30" s="126"/>
      <c r="S30" s="126"/>
    </row>
    <row r="31" spans="1:19" s="16" customFormat="1" x14ac:dyDescent="0.35">
      <c r="A31"/>
      <c r="B31"/>
      <c r="C31"/>
      <c r="D31"/>
      <c r="E31"/>
      <c r="F31"/>
      <c r="G31"/>
      <c r="H31" s="68"/>
      <c r="I31" s="144"/>
      <c r="J31" s="144"/>
      <c r="K31" s="126"/>
      <c r="L31" s="126"/>
      <c r="M31" s="126"/>
      <c r="N31" s="126"/>
      <c r="O31" s="126"/>
      <c r="P31" s="126"/>
      <c r="Q31" s="126"/>
      <c r="R31" s="126"/>
      <c r="S31" s="126"/>
    </row>
    <row r="32" spans="1:19" x14ac:dyDescent="0.35">
      <c r="H32" s="21"/>
      <c r="I32" s="144"/>
      <c r="J32" s="144"/>
      <c r="K32" s="95"/>
      <c r="L32" s="95"/>
      <c r="M32" s="95"/>
      <c r="N32" s="95"/>
      <c r="O32" s="95"/>
      <c r="P32" s="95"/>
      <c r="Q32" s="95"/>
      <c r="R32" s="95"/>
      <c r="S32" s="95"/>
    </row>
    <row r="33" spans="8:19" x14ac:dyDescent="0.35">
      <c r="H33" s="21"/>
      <c r="I33" s="144"/>
      <c r="J33" s="144"/>
      <c r="K33" s="95"/>
      <c r="L33" s="95"/>
      <c r="M33" s="95"/>
      <c r="N33" s="95"/>
      <c r="O33" s="95"/>
      <c r="P33" s="95"/>
      <c r="Q33" s="95"/>
      <c r="R33" s="95"/>
      <c r="S33" s="95"/>
    </row>
    <row r="34" spans="8:19" x14ac:dyDescent="0.35">
      <c r="H34" s="21"/>
      <c r="I34" s="144"/>
      <c r="J34" s="144"/>
      <c r="K34" s="95"/>
      <c r="L34" s="95"/>
      <c r="M34" s="95"/>
      <c r="N34" s="95"/>
      <c r="O34" s="95"/>
      <c r="P34" s="95"/>
      <c r="Q34" s="95"/>
      <c r="R34" s="95"/>
      <c r="S34" s="95"/>
    </row>
    <row r="35" spans="8:19" x14ac:dyDescent="0.35">
      <c r="H35" s="21"/>
      <c r="I35" s="144"/>
      <c r="J35" s="144"/>
      <c r="K35" s="95"/>
      <c r="L35" s="95"/>
      <c r="M35" s="95"/>
      <c r="N35" s="95"/>
      <c r="O35" s="95"/>
      <c r="P35" s="95"/>
      <c r="Q35" s="95"/>
      <c r="R35" s="95"/>
      <c r="S35" s="95"/>
    </row>
    <row r="36" spans="8:19" x14ac:dyDescent="0.35">
      <c r="H36" s="21"/>
      <c r="I36" s="144"/>
      <c r="J36" s="144"/>
      <c r="K36" s="95"/>
      <c r="L36" s="95"/>
      <c r="M36" s="95"/>
      <c r="N36" s="95"/>
      <c r="O36" s="95"/>
      <c r="P36" s="95"/>
      <c r="Q36" s="95"/>
      <c r="R36" s="95"/>
      <c r="S36" s="95"/>
    </row>
    <row r="37" spans="8:19" x14ac:dyDescent="0.35">
      <c r="H37" s="21"/>
      <c r="I37" s="144"/>
      <c r="J37" s="144"/>
      <c r="K37" s="95"/>
      <c r="L37" s="95"/>
      <c r="M37" s="95"/>
      <c r="N37" s="95"/>
      <c r="O37" s="95"/>
      <c r="P37" s="95"/>
      <c r="Q37" s="95"/>
      <c r="R37" s="95"/>
      <c r="S37" s="95"/>
    </row>
    <row r="38" spans="8:19" x14ac:dyDescent="0.35">
      <c r="H38" s="21"/>
      <c r="I38" s="144"/>
      <c r="J38" s="144"/>
      <c r="K38" s="95"/>
      <c r="L38" s="95"/>
      <c r="M38" s="95"/>
      <c r="N38" s="95"/>
      <c r="O38" s="95"/>
      <c r="P38" s="95"/>
      <c r="Q38" s="95"/>
      <c r="R38" s="95"/>
      <c r="S38" s="95"/>
    </row>
    <row r="39" spans="8:19" x14ac:dyDescent="0.35">
      <c r="H39" s="21"/>
      <c r="I39" s="144"/>
      <c r="J39" s="144"/>
      <c r="K39" s="95"/>
      <c r="L39" s="95"/>
      <c r="M39" s="95"/>
      <c r="N39" s="95"/>
      <c r="O39" s="95"/>
      <c r="P39" s="95"/>
      <c r="Q39" s="95"/>
      <c r="R39" s="95"/>
      <c r="S39" s="95"/>
    </row>
    <row r="40" spans="8:19" ht="39.6" customHeight="1" x14ac:dyDescent="0.35">
      <c r="H40" s="21"/>
      <c r="I40" s="144"/>
      <c r="J40" s="144"/>
      <c r="K40" s="95"/>
      <c r="L40" s="95"/>
      <c r="M40" s="95"/>
      <c r="N40" s="95"/>
      <c r="O40" s="95"/>
      <c r="P40" s="95"/>
      <c r="Q40" s="95"/>
      <c r="R40" s="95"/>
      <c r="S40" s="95"/>
    </row>
    <row r="41" spans="8:19" x14ac:dyDescent="0.35">
      <c r="H41" s="21"/>
      <c r="I41" s="144"/>
      <c r="J41" s="144"/>
      <c r="K41" s="95"/>
      <c r="L41" s="95"/>
      <c r="M41" s="95"/>
      <c r="N41" s="95"/>
      <c r="O41" s="95"/>
      <c r="P41" s="95"/>
      <c r="Q41" s="95"/>
      <c r="R41" s="95"/>
      <c r="S41" s="95"/>
    </row>
    <row r="42" spans="8:19" x14ac:dyDescent="0.35">
      <c r="H42" s="21"/>
      <c r="I42" s="144"/>
      <c r="J42" s="144"/>
      <c r="K42" s="95"/>
      <c r="L42" s="95"/>
      <c r="M42" s="95"/>
      <c r="N42" s="95"/>
      <c r="O42" s="95"/>
      <c r="P42" s="95"/>
      <c r="Q42" s="95"/>
      <c r="R42" s="95"/>
      <c r="S42" s="95"/>
    </row>
    <row r="43" spans="8:19" x14ac:dyDescent="0.35">
      <c r="H43" s="21"/>
      <c r="I43" s="144"/>
      <c r="J43" s="144"/>
      <c r="K43" s="95"/>
      <c r="L43" s="95"/>
      <c r="M43" s="95"/>
      <c r="N43" s="95"/>
      <c r="O43" s="95"/>
      <c r="P43" s="95"/>
      <c r="Q43" s="95"/>
      <c r="R43" s="95"/>
      <c r="S43" s="95"/>
    </row>
    <row r="44" spans="8:19" x14ac:dyDescent="0.35">
      <c r="H44" s="21"/>
      <c r="I44" s="144"/>
      <c r="J44" s="144"/>
      <c r="K44" s="95"/>
      <c r="L44" s="95"/>
      <c r="M44" s="95"/>
      <c r="N44" s="95"/>
      <c r="O44" s="95"/>
      <c r="P44" s="95"/>
      <c r="Q44" s="95"/>
      <c r="R44" s="95"/>
      <c r="S44" s="95"/>
    </row>
    <row r="45" spans="8:19" ht="24.75" customHeight="1" collapsed="1" x14ac:dyDescent="0.35">
      <c r="I45" s="144"/>
      <c r="J45" s="144"/>
      <c r="K45" s="95"/>
      <c r="L45" s="95"/>
      <c r="M45" s="95"/>
      <c r="N45" s="95"/>
      <c r="O45" s="95"/>
      <c r="P45" s="95"/>
      <c r="Q45" s="95"/>
      <c r="R45" s="95"/>
      <c r="S45" s="95"/>
    </row>
    <row r="46" spans="8:19" x14ac:dyDescent="0.35">
      <c r="I46" s="144"/>
      <c r="J46" s="144"/>
      <c r="K46" s="95"/>
      <c r="L46" s="95"/>
      <c r="M46" s="95"/>
      <c r="N46" s="95"/>
      <c r="O46" s="95"/>
      <c r="P46" s="95"/>
      <c r="Q46" s="95"/>
      <c r="R46" s="95"/>
      <c r="S46" s="95"/>
    </row>
    <row r="47" spans="8:19" x14ac:dyDescent="0.35">
      <c r="I47" s="144"/>
      <c r="J47" s="144"/>
      <c r="K47" s="95"/>
      <c r="L47" s="95"/>
      <c r="M47" s="95"/>
      <c r="N47" s="95"/>
      <c r="O47" s="95"/>
      <c r="P47" s="95"/>
      <c r="Q47" s="95"/>
      <c r="R47" s="95"/>
      <c r="S47" s="95"/>
    </row>
    <row r="48" spans="8:19" collapsed="1" x14ac:dyDescent="0.35">
      <c r="I48" s="144"/>
      <c r="J48" s="144"/>
      <c r="K48" s="95"/>
      <c r="L48" s="95"/>
      <c r="M48" s="95"/>
      <c r="N48" s="95"/>
      <c r="O48" s="95"/>
      <c r="P48" s="95"/>
      <c r="Q48" s="95"/>
      <c r="R48" s="95"/>
      <c r="S48" s="95"/>
    </row>
    <row r="49" spans="9:19" x14ac:dyDescent="0.35">
      <c r="I49" s="144"/>
      <c r="J49" s="144"/>
      <c r="K49" s="95"/>
      <c r="L49" s="95"/>
      <c r="M49" s="95"/>
      <c r="N49" s="95"/>
      <c r="O49" s="95"/>
      <c r="P49" s="95"/>
      <c r="Q49" s="95"/>
      <c r="R49" s="95"/>
      <c r="S49" s="95"/>
    </row>
    <row r="50" spans="9:19" ht="24.75" customHeight="1" x14ac:dyDescent="0.35">
      <c r="I50" s="144"/>
      <c r="J50" s="144"/>
      <c r="K50" s="95"/>
      <c r="L50" s="95"/>
      <c r="M50" s="95"/>
      <c r="N50" s="95"/>
      <c r="O50" s="95"/>
      <c r="P50" s="95"/>
      <c r="Q50" s="95"/>
      <c r="R50" s="95"/>
      <c r="S50" s="95"/>
    </row>
    <row r="51" spans="9:19" ht="24.75" customHeight="1" x14ac:dyDescent="0.35">
      <c r="I51" s="144"/>
      <c r="J51" s="144"/>
      <c r="K51" s="95"/>
      <c r="L51" s="95"/>
      <c r="M51" s="95"/>
      <c r="N51" s="95"/>
      <c r="O51" s="95"/>
      <c r="P51" s="95"/>
      <c r="Q51" s="95"/>
      <c r="R51" s="95"/>
      <c r="S51" s="95"/>
    </row>
    <row r="52" spans="9:19" ht="24.75" customHeight="1" x14ac:dyDescent="0.35">
      <c r="I52" s="144"/>
      <c r="J52" s="144"/>
      <c r="K52" s="95"/>
      <c r="L52" s="95"/>
      <c r="M52" s="95"/>
      <c r="N52" s="95"/>
      <c r="O52" s="95"/>
      <c r="P52" s="95"/>
      <c r="Q52" s="95"/>
      <c r="R52" s="95"/>
      <c r="S52" s="95"/>
    </row>
    <row r="53" spans="9:19" ht="24.75" customHeight="1" x14ac:dyDescent="0.35">
      <c r="I53" s="144"/>
      <c r="J53" s="144"/>
      <c r="K53" s="95"/>
      <c r="L53" s="95"/>
      <c r="M53" s="95"/>
      <c r="N53" s="95"/>
      <c r="O53" s="95"/>
      <c r="P53" s="95"/>
      <c r="Q53" s="95"/>
      <c r="R53" s="95"/>
      <c r="S53" s="95"/>
    </row>
    <row r="54" spans="9:19" collapsed="1" x14ac:dyDescent="0.35">
      <c r="I54" s="144"/>
      <c r="J54" s="144"/>
      <c r="K54" s="95"/>
      <c r="L54" s="95"/>
      <c r="M54" s="95"/>
      <c r="N54" s="95"/>
      <c r="O54" s="95"/>
      <c r="P54" s="95"/>
      <c r="Q54" s="95"/>
      <c r="R54" s="95"/>
      <c r="S54" s="95"/>
    </row>
    <row r="55" spans="9:19" x14ac:dyDescent="0.35">
      <c r="I55" s="144"/>
      <c r="J55" s="144"/>
      <c r="K55" s="95"/>
      <c r="L55" s="95"/>
      <c r="M55" s="95"/>
      <c r="N55" s="95"/>
      <c r="O55" s="95"/>
      <c r="P55" s="95"/>
      <c r="Q55" s="95"/>
      <c r="R55" s="95"/>
      <c r="S55" s="95"/>
    </row>
    <row r="56" spans="9:19" x14ac:dyDescent="0.35">
      <c r="I56" s="145">
        <v>0.20833333333333334</v>
      </c>
      <c r="J56" s="144"/>
      <c r="K56" s="95"/>
      <c r="L56" s="95"/>
      <c r="M56" s="95"/>
      <c r="N56" s="95"/>
      <c r="O56" s="95"/>
      <c r="P56" s="95"/>
      <c r="Q56" s="95"/>
      <c r="R56" s="95"/>
      <c r="S56" s="95"/>
    </row>
    <row r="57" spans="9:19" x14ac:dyDescent="0.35">
      <c r="I57" s="144"/>
      <c r="J57" s="144"/>
      <c r="K57" s="95"/>
      <c r="L57" s="95"/>
      <c r="M57" s="95"/>
      <c r="N57" s="95"/>
      <c r="O57" s="95"/>
      <c r="P57" s="95"/>
      <c r="Q57" s="95"/>
      <c r="R57" s="95"/>
      <c r="S57" s="95"/>
    </row>
    <row r="58" spans="9:19" x14ac:dyDescent="0.35">
      <c r="I58" s="145">
        <v>0.20833333333333334</v>
      </c>
      <c r="J58" s="144"/>
      <c r="K58" s="95"/>
      <c r="L58" s="95"/>
      <c r="M58" s="95"/>
      <c r="N58" s="95"/>
      <c r="O58" s="95"/>
      <c r="P58" s="95"/>
      <c r="Q58" s="95"/>
      <c r="R58" s="95"/>
      <c r="S58" s="95"/>
    </row>
    <row r="59" spans="9:19" x14ac:dyDescent="0.35">
      <c r="I59" s="144"/>
      <c r="J59" s="144"/>
      <c r="K59" s="95"/>
      <c r="L59" s="95"/>
      <c r="M59" s="95"/>
      <c r="N59" s="95"/>
      <c r="O59" s="95"/>
      <c r="P59" s="95"/>
      <c r="Q59" s="95"/>
      <c r="R59" s="95"/>
      <c r="S59" s="95"/>
    </row>
    <row r="60" spans="9:19" x14ac:dyDescent="0.35">
      <c r="I60" s="144"/>
      <c r="J60" s="144"/>
      <c r="K60" s="95"/>
      <c r="L60" s="95"/>
      <c r="M60" s="95"/>
      <c r="N60" s="95"/>
      <c r="O60" s="95"/>
      <c r="P60" s="95"/>
      <c r="Q60" s="95"/>
      <c r="R60" s="95"/>
      <c r="S60" s="95"/>
    </row>
    <row r="61" spans="9:19" x14ac:dyDescent="0.35"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</row>
    <row r="62" spans="9:19" x14ac:dyDescent="0.35"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</row>
    <row r="63" spans="9:19" x14ac:dyDescent="0.35"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</row>
    <row r="64" spans="9:19" collapsed="1" x14ac:dyDescent="0.35">
      <c r="I64" s="144"/>
      <c r="J64" s="144"/>
      <c r="K64" s="95"/>
      <c r="L64" s="95"/>
      <c r="M64" s="95"/>
      <c r="N64" s="95"/>
      <c r="O64" s="95"/>
      <c r="P64" s="95"/>
      <c r="Q64" s="95"/>
      <c r="R64" s="95"/>
      <c r="S64" s="95"/>
    </row>
    <row r="65" spans="8:19" x14ac:dyDescent="0.35">
      <c r="I65" s="144"/>
      <c r="J65" s="144"/>
      <c r="K65" s="95"/>
      <c r="L65" s="95"/>
      <c r="M65" s="95"/>
      <c r="N65" s="95"/>
      <c r="O65" s="95"/>
      <c r="P65" s="95"/>
      <c r="Q65" s="95"/>
      <c r="R65" s="95"/>
      <c r="S65" s="95"/>
    </row>
    <row r="66" spans="8:19" x14ac:dyDescent="0.35">
      <c r="I66" s="144"/>
      <c r="J66" s="144"/>
      <c r="K66" s="95"/>
      <c r="L66" s="95"/>
      <c r="M66" s="95"/>
      <c r="N66" s="95"/>
      <c r="O66" s="95"/>
      <c r="P66" s="95"/>
      <c r="Q66" s="95"/>
      <c r="R66" s="95"/>
      <c r="S66" s="95"/>
    </row>
    <row r="67" spans="8:19" x14ac:dyDescent="0.35">
      <c r="I67" s="144"/>
      <c r="J67" s="144"/>
      <c r="K67" s="95"/>
      <c r="L67" s="95"/>
      <c r="M67" s="95"/>
      <c r="N67" s="95"/>
      <c r="O67" s="95"/>
      <c r="P67" s="95"/>
      <c r="Q67" s="95"/>
      <c r="R67" s="95"/>
      <c r="S67" s="95"/>
    </row>
    <row r="68" spans="8:19" x14ac:dyDescent="0.35">
      <c r="I68" s="144"/>
      <c r="J68" s="144"/>
      <c r="K68" s="95"/>
      <c r="L68" s="95"/>
      <c r="M68" s="95"/>
      <c r="N68" s="95"/>
      <c r="O68" s="95"/>
      <c r="P68" s="95"/>
      <c r="Q68" s="95"/>
      <c r="R68" s="95"/>
      <c r="S68" s="95"/>
    </row>
    <row r="69" spans="8:19" x14ac:dyDescent="0.35">
      <c r="I69" s="144"/>
      <c r="J69" s="144"/>
      <c r="K69" s="95"/>
      <c r="L69" s="95"/>
      <c r="M69" s="95"/>
      <c r="N69" s="95"/>
      <c r="O69" s="95"/>
      <c r="P69" s="95"/>
      <c r="Q69" s="95"/>
      <c r="R69" s="95"/>
      <c r="S69" s="95"/>
    </row>
    <row r="70" spans="8:19" x14ac:dyDescent="0.35">
      <c r="I70" s="146"/>
      <c r="J70" s="146"/>
      <c r="K70" s="95"/>
      <c r="L70" s="95"/>
      <c r="M70" s="95"/>
      <c r="N70" s="95"/>
      <c r="O70" s="95"/>
      <c r="P70" s="95"/>
      <c r="Q70" s="95"/>
      <c r="R70" s="95"/>
      <c r="S70" s="95"/>
    </row>
    <row r="71" spans="8:19" x14ac:dyDescent="0.35">
      <c r="I71" s="146"/>
      <c r="J71" s="146"/>
      <c r="K71" s="95"/>
      <c r="L71" s="95"/>
      <c r="M71" s="95"/>
      <c r="N71" s="95"/>
      <c r="O71" s="95"/>
      <c r="P71" s="95"/>
      <c r="Q71" s="95"/>
      <c r="R71" s="95"/>
      <c r="S71" s="95"/>
    </row>
    <row r="72" spans="8:19" x14ac:dyDescent="0.35">
      <c r="I72" s="146"/>
      <c r="J72" s="146"/>
      <c r="K72" s="95"/>
      <c r="L72" s="95"/>
      <c r="M72" s="95"/>
      <c r="N72" s="95"/>
      <c r="O72" s="95"/>
      <c r="P72" s="95"/>
      <c r="Q72" s="95"/>
      <c r="R72" s="95"/>
      <c r="S72" s="95"/>
    </row>
    <row r="73" spans="8:19" x14ac:dyDescent="0.35">
      <c r="I73" s="146"/>
      <c r="J73" s="146"/>
      <c r="K73" s="95"/>
      <c r="L73" s="95"/>
      <c r="M73" s="95"/>
      <c r="N73" s="95"/>
      <c r="O73" s="95"/>
      <c r="P73" s="95"/>
      <c r="Q73" s="95"/>
      <c r="R73" s="95"/>
      <c r="S73" s="95"/>
    </row>
    <row r="74" spans="8:19" collapsed="1" x14ac:dyDescent="0.35">
      <c r="I74" s="146"/>
      <c r="J74" s="146"/>
      <c r="K74" s="95"/>
      <c r="L74" s="95"/>
      <c r="M74" s="95"/>
      <c r="N74" s="95"/>
      <c r="O74" s="95"/>
      <c r="P74" s="95"/>
      <c r="Q74" s="95"/>
      <c r="R74" s="95"/>
      <c r="S74" s="95"/>
    </row>
    <row r="75" spans="8:19" x14ac:dyDescent="0.35">
      <c r="I75" s="146"/>
      <c r="J75" s="146"/>
      <c r="K75" s="95"/>
      <c r="L75" s="95"/>
      <c r="M75" s="95"/>
      <c r="N75" s="95"/>
      <c r="O75" s="95"/>
      <c r="P75" s="95"/>
      <c r="Q75" s="95"/>
      <c r="R75" s="95"/>
      <c r="S75" s="95"/>
    </row>
    <row r="76" spans="8:19" x14ac:dyDescent="0.35">
      <c r="I76" s="146"/>
      <c r="J76" s="146"/>
      <c r="K76" s="95"/>
      <c r="L76" s="95"/>
      <c r="M76" s="95"/>
      <c r="N76" s="95"/>
      <c r="O76" s="95"/>
      <c r="P76" s="95"/>
      <c r="Q76" s="95"/>
      <c r="R76" s="95"/>
      <c r="S76" s="95"/>
    </row>
    <row r="77" spans="8:19" x14ac:dyDescent="0.35">
      <c r="H77" s="2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</row>
  </sheetData>
  <conditionalFormatting sqref="E2:G17">
    <cfRule type="cellIs" dxfId="2" priority="35" operator="equal">
      <formula>"??"</formula>
    </cfRule>
  </conditionalFormatting>
  <conditionalFormatting sqref="F1:G1">
    <cfRule type="cellIs" dxfId="1" priority="34" operator="equal">
      <formula>"??"</formula>
    </cfRule>
  </conditionalFormatting>
  <conditionalFormatting sqref="E1">
    <cfRule type="cellIs" dxfId="0" priority="2" operator="equal">
      <formula>"??"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C915B-F416-4CBD-9C6F-C734E7876434}">
  <sheetPr codeName="Sheet2"/>
  <dimension ref="A1:C24"/>
  <sheetViews>
    <sheetView zoomScale="80" zoomScaleNormal="80" workbookViewId="0">
      <selection activeCell="A34" sqref="A34"/>
    </sheetView>
  </sheetViews>
  <sheetFormatPr defaultRowHeight="21" x14ac:dyDescent="0.35"/>
  <cols>
    <col min="1" max="1" width="36.36328125" customWidth="1"/>
  </cols>
  <sheetData>
    <row r="1" spans="1:3" x14ac:dyDescent="0.35">
      <c r="A1" s="157"/>
      <c r="B1" s="183" t="s">
        <v>80</v>
      </c>
      <c r="C1" s="184"/>
    </row>
    <row r="2" spans="1:3" x14ac:dyDescent="0.35">
      <c r="A2" s="157"/>
      <c r="B2" s="183"/>
      <c r="C2" s="184"/>
    </row>
    <row r="3" spans="1:3" x14ac:dyDescent="0.35">
      <c r="A3" s="157"/>
    </row>
    <row r="4" spans="1:3" x14ac:dyDescent="0.35">
      <c r="A4" s="157"/>
    </row>
    <row r="5" spans="1:3" x14ac:dyDescent="0.35">
      <c r="A5" s="157"/>
    </row>
    <row r="6" spans="1:3" x14ac:dyDescent="0.35">
      <c r="A6" s="158"/>
    </row>
    <row r="7" spans="1:3" x14ac:dyDescent="0.35">
      <c r="A7" s="157"/>
    </row>
    <row r="8" spans="1:3" x14ac:dyDescent="0.35">
      <c r="A8" s="157"/>
    </row>
    <row r="9" spans="1:3" x14ac:dyDescent="0.35">
      <c r="A9" s="157"/>
    </row>
    <row r="10" spans="1:3" x14ac:dyDescent="0.35">
      <c r="A10" s="157"/>
    </row>
    <row r="11" spans="1:3" x14ac:dyDescent="0.35">
      <c r="A11" s="157"/>
    </row>
    <row r="12" spans="1:3" x14ac:dyDescent="0.35">
      <c r="A12" s="157"/>
    </row>
    <row r="13" spans="1:3" x14ac:dyDescent="0.35">
      <c r="A13" s="157"/>
    </row>
    <row r="14" spans="1:3" x14ac:dyDescent="0.35">
      <c r="A14" s="157"/>
    </row>
    <row r="15" spans="1:3" x14ac:dyDescent="0.35">
      <c r="A15" s="157"/>
    </row>
    <row r="16" spans="1:3" x14ac:dyDescent="0.35">
      <c r="A16" s="157"/>
    </row>
    <row r="17" spans="1:1" x14ac:dyDescent="0.35">
      <c r="A17" s="157"/>
    </row>
    <row r="18" spans="1:1" x14ac:dyDescent="0.35">
      <c r="A18" s="157"/>
    </row>
    <row r="19" spans="1:1" x14ac:dyDescent="0.35">
      <c r="A19" s="157"/>
    </row>
    <row r="20" spans="1:1" x14ac:dyDescent="0.35">
      <c r="A20" s="157"/>
    </row>
    <row r="21" spans="1:1" x14ac:dyDescent="0.35">
      <c r="A21" s="157"/>
    </row>
    <row r="22" spans="1:1" x14ac:dyDescent="0.35">
      <c r="A22" s="114"/>
    </row>
    <row r="23" spans="1:1" x14ac:dyDescent="0.35">
      <c r="A23" s="114"/>
    </row>
    <row r="24" spans="1:1" x14ac:dyDescent="0.35">
      <c r="A24" s="114"/>
    </row>
  </sheetData>
  <mergeCells count="1">
    <mergeCell ref="B1:C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0C4-B815-4F2B-B227-372472004F54}">
  <sheetPr codeName="Sheet3"/>
  <dimension ref="A1:E14"/>
  <sheetViews>
    <sheetView zoomScale="70" zoomScaleNormal="70" workbookViewId="0">
      <selection activeCell="E3" sqref="E3"/>
    </sheetView>
  </sheetViews>
  <sheetFormatPr defaultRowHeight="21" outlineLevelRow="2" x14ac:dyDescent="0.35"/>
  <sheetData>
    <row r="1" spans="1:5" s="16" customFormat="1" ht="23.65" customHeight="1" x14ac:dyDescent="0.35">
      <c r="A1" s="68"/>
      <c r="B1" s="126"/>
    </row>
    <row r="2" spans="1:5" s="16" customFormat="1" ht="23.65" customHeight="1" outlineLevel="1" x14ac:dyDescent="0.35">
      <c r="A2" s="68"/>
      <c r="B2" s="126"/>
    </row>
    <row r="3" spans="1:5" s="16" customFormat="1" ht="23.65" customHeight="1" outlineLevel="2" x14ac:dyDescent="0.35">
      <c r="A3" s="68"/>
      <c r="B3" s="127"/>
      <c r="E3" s="135"/>
    </row>
    <row r="4" spans="1:5" s="16" customFormat="1" ht="23.65" customHeight="1" outlineLevel="2" x14ac:dyDescent="0.35">
      <c r="A4" s="68"/>
      <c r="B4" s="126"/>
    </row>
    <row r="5" spans="1:5" s="16" customFormat="1" ht="23.65" customHeight="1" outlineLevel="2" x14ac:dyDescent="0.35">
      <c r="A5" s="68"/>
      <c r="B5" s="126"/>
    </row>
    <row r="6" spans="1:5" s="16" customFormat="1" ht="23.65" customHeight="1" outlineLevel="2" x14ac:dyDescent="0.35">
      <c r="A6" s="68"/>
      <c r="B6" s="126"/>
    </row>
    <row r="7" spans="1:5" s="16" customFormat="1" ht="23.65" customHeight="1" outlineLevel="2" x14ac:dyDescent="0.35">
      <c r="A7" s="68"/>
      <c r="B7" s="126"/>
    </row>
    <row r="8" spans="1:5" s="16" customFormat="1" ht="23.65" customHeight="1" outlineLevel="2" x14ac:dyDescent="0.35">
      <c r="A8" s="68"/>
      <c r="B8" s="126"/>
    </row>
    <row r="9" spans="1:5" s="16" customFormat="1" ht="23.65" customHeight="1" outlineLevel="2" x14ac:dyDescent="0.35">
      <c r="A9" s="68"/>
      <c r="B9" s="126"/>
    </row>
    <row r="10" spans="1:5" s="16" customFormat="1" ht="23.65" customHeight="1" outlineLevel="1" x14ac:dyDescent="0.35">
      <c r="A10" s="68"/>
      <c r="B10" s="126"/>
    </row>
    <row r="11" spans="1:5" s="16" customFormat="1" ht="23.65" hidden="1" customHeight="1" outlineLevel="2" x14ac:dyDescent="0.35">
      <c r="A11" s="68"/>
      <c r="B11" s="126"/>
    </row>
    <row r="12" spans="1:5" s="16" customFormat="1" ht="23.65" hidden="1" customHeight="1" outlineLevel="2" thickBot="1" x14ac:dyDescent="0.4">
      <c r="A12" s="68"/>
      <c r="B12" s="126"/>
    </row>
    <row r="13" spans="1:5" s="16" customFormat="1" ht="23.65" customHeight="1" outlineLevel="1" collapsed="1" x14ac:dyDescent="0.35">
      <c r="A13" s="68"/>
      <c r="B13" s="126"/>
    </row>
    <row r="14" spans="1:5" s="16" customFormat="1" ht="23.65" customHeight="1" outlineLevel="1" x14ac:dyDescent="0.35">
      <c r="A14" s="68"/>
      <c r="B14" s="1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Day</vt:lpstr>
      <vt:lpstr>W</vt:lpstr>
      <vt:lpstr>Week</vt:lpstr>
      <vt:lpstr>Schedule</vt:lpstr>
      <vt:lpstr>Task Bucket</vt:lpstr>
      <vt:lpstr>Compleated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2015-06-05T18:17:20Z</dcterms:created>
  <dcterms:modified xsi:type="dcterms:W3CDTF">2023-06-14T18:38:04Z</dcterms:modified>
  <cp:category/>
  <cp:contentStatus/>
</cp:coreProperties>
</file>